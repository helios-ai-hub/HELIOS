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e-GO" sheetId="2" state="visible" r:id="rId2"/>
    <sheet xmlns:r="http://schemas.openxmlformats.org/officeDocument/2006/relationships" name="Post-GO" sheetId="3" state="visible" r:id="rId3"/>
    <sheet xmlns:r="http://schemas.openxmlformats.org/officeDocument/2006/relationships" name="Pacchetti" sheetId="4" state="visible" r:id="rId4"/>
    <sheet xmlns:r="http://schemas.openxmlformats.org/officeDocument/2006/relationships" name="Sincronizzazione" sheetId="5" state="visible" r:id="rId5"/>
    <sheet xmlns:r="http://schemas.openxmlformats.org/officeDocument/2006/relationships" name="Istruzioni" sheetId="6" state="visible" r:id="rId6"/>
  </sheets>
  <definedNames>
    <definedName name="_xlnm._FilterDatabase" localSheetId="1" hidden="1">'Pre-GO'!$A$4:$V$25</definedName>
    <definedName name="_xlnm._FilterDatabase" localSheetId="2" hidden="1">'Post-GO'!$A$4:$V$53</definedName>
    <definedName name="_xlnm._FilterDatabase" localSheetId="3" hidden="1">'Pacchetti'!$A$4:$N$36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alibri"/>
      <b val="1"/>
      <color rgb="00FFFFFF"/>
      <sz val="11"/>
    </font>
    <font>
      <b val="1"/>
      <color rgb="00FFFFFF"/>
      <sz val="18"/>
    </font>
    <font>
      <b val="1"/>
      <sz val="12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dxfs count="10">
    <dxf>
      <fill>
        <patternFill patternType="solid">
          <bgColor rgb="00FFD966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E7E6E6"/>
        </patternFill>
      </fill>
    </dxf>
    <dxf>
      <fill>
        <patternFill patternType="solid">
          <bgColor rgb="00E2EFDA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HELIOS — Distribuzione task</t>
        </is>
      </c>
    </row>
    <row r="3">
      <c r="A3" s="2" t="inlineStr">
        <is>
          <t>Stato</t>
        </is>
      </c>
      <c r="B3" s="2" t="inlineStr">
        <is>
          <t>Pre-GO (Fasi 1–4)</t>
        </is>
      </c>
      <c r="C3" s="2" t="inlineStr">
        <is>
          <t>Post-GO (Fasi 5–12)</t>
        </is>
      </c>
      <c r="D3" s="2" t="inlineStr">
        <is>
          <t>Totale</t>
        </is>
      </c>
    </row>
    <row r="4">
      <c r="A4" t="inlineStr">
        <is>
          <t>Fatto</t>
        </is>
      </c>
      <c r="B4">
        <f>COUNTIF('Pre-GO'!I5:I25,A4)</f>
        <v/>
      </c>
      <c r="C4">
        <f>COUNTIF('Post-GO'!I5:I53,A4)</f>
        <v/>
      </c>
      <c r="D4">
        <f>B4+C4</f>
        <v/>
      </c>
    </row>
    <row r="5">
      <c r="A5" t="inlineStr">
        <is>
          <t>In corso</t>
        </is>
      </c>
      <c r="B5">
        <f>COUNTIF('Pre-GO'!I5:I25,A5)</f>
        <v/>
      </c>
      <c r="C5">
        <f>COUNTIF('Post-GO'!I5:I53,A5)</f>
        <v/>
      </c>
      <c r="D5">
        <f>B5+C5</f>
        <v/>
      </c>
    </row>
    <row r="6">
      <c r="A6" t="inlineStr">
        <is>
          <t>In review</t>
        </is>
      </c>
      <c r="B6">
        <f>COUNTIF('Pre-GO'!I5:I25,A6)</f>
        <v/>
      </c>
      <c r="C6">
        <f>COUNTIF('Post-GO'!I5:I53,A6)</f>
        <v/>
      </c>
      <c r="D6">
        <f>B6+C6</f>
        <v/>
      </c>
    </row>
    <row r="7">
      <c r="A7" t="inlineStr">
        <is>
          <t>Da fare</t>
        </is>
      </c>
      <c r="B7">
        <f>COUNTIF('Pre-GO'!I5:I25,A7)</f>
        <v/>
      </c>
      <c r="C7">
        <f>COUNTIF('Post-GO'!I5:I53,A7)</f>
        <v/>
      </c>
      <c r="D7">
        <f>B7+C7</f>
        <v/>
      </c>
    </row>
    <row r="8">
      <c r="A8" t="inlineStr">
        <is>
          <t>Bloccato</t>
        </is>
      </c>
      <c r="B8">
        <f>COUNTIF('Pre-GO'!I5:I25,A8)</f>
        <v/>
      </c>
      <c r="C8">
        <f>COUNTIF('Post-GO'!I5:I53,A8)</f>
        <v/>
      </c>
      <c r="D8">
        <f>B8+C8</f>
        <v/>
      </c>
    </row>
    <row r="9">
      <c r="A9" s="3" t="inlineStr">
        <is>
          <t>Totale</t>
        </is>
      </c>
      <c r="B9" s="3">
        <f>SUM(B4:B8)</f>
        <v/>
      </c>
      <c r="C9" s="3">
        <f>SUM(C4:C8)</f>
        <v/>
      </c>
      <c r="D9" s="3">
        <f>SUM(D4:D8)</f>
        <v/>
      </c>
    </row>
    <row r="10">
      <c r="A10" s="3" t="inlineStr">
        <is>
          <t>% completamento</t>
        </is>
      </c>
      <c r="B10" s="4">
        <f>IF(B9=0,0,B4/B9)</f>
        <v/>
      </c>
      <c r="C10" s="4">
        <f>IF(C9=0,0,C4/C9)</f>
        <v/>
      </c>
      <c r="D10" s="4">
        <f>IF(D9=0,0,D4/D9)</f>
        <v/>
      </c>
    </row>
    <row r="13">
      <c r="A13" s="2" t="inlineStr">
        <is>
          <t>Assegnato a</t>
        </is>
      </c>
      <c r="B13" s="2" t="inlineStr">
        <is>
          <t>Pre-GO</t>
        </is>
      </c>
      <c r="C13" s="2" t="inlineStr">
        <is>
          <t>Post-GO</t>
        </is>
      </c>
      <c r="D13" s="2" t="inlineStr">
        <is>
          <t>Totale</t>
        </is>
      </c>
      <c r="E13" s="2" t="inlineStr">
        <is>
          <t>Di cui fatti</t>
        </is>
      </c>
    </row>
    <row r="14">
      <c r="A14" t="inlineStr">
        <is>
          <t>NARO</t>
        </is>
      </c>
      <c r="B14">
        <f>COUNTIF('Pre-GO'!K5:K25,A14)</f>
        <v/>
      </c>
      <c r="C14">
        <f>COUNTIF('Post-GO'!K5:K53,A14)</f>
        <v/>
      </c>
      <c r="D14">
        <f>B14+C14</f>
        <v/>
      </c>
      <c r="E14">
        <f>COUNTIFS('Pre-GO'!K5:K25,A14,'Pre-GO'!I5:I25,"Fatto")+COUNTIFS('Post-GO'!K5:K53,A14,'Post-GO'!I5:I53,"Fatto")</f>
        <v/>
      </c>
    </row>
    <row r="15">
      <c r="A15" t="inlineStr">
        <is>
          <t>SCIBETTA</t>
        </is>
      </c>
      <c r="B15">
        <f>COUNTIF('Pre-GO'!K5:K25,A15)</f>
        <v/>
      </c>
      <c r="C15">
        <f>COUNTIF('Post-GO'!K5:K53,A15)</f>
        <v/>
      </c>
      <c r="D15">
        <f>B15+C15</f>
        <v/>
      </c>
      <c r="E15">
        <f>COUNTIFS('Pre-GO'!K5:K25,A15,'Pre-GO'!I5:I25,"Fatto")+COUNTIFS('Post-GO'!K5:K53,A15,'Post-GO'!I5:I53,"Fatto")</f>
        <v/>
      </c>
    </row>
    <row r="16">
      <c r="A16" t="inlineStr">
        <is>
          <t>SUPERVISORE</t>
        </is>
      </c>
      <c r="B16">
        <f>COUNTIF('Pre-GO'!K5:K25,A16)</f>
        <v/>
      </c>
      <c r="C16">
        <f>COUNTIF('Post-GO'!K5:K53,A16)</f>
        <v/>
      </c>
      <c r="D16">
        <f>B16+C16</f>
        <v/>
      </c>
      <c r="E16">
        <f>COUNTIFS('Pre-GO'!K5:K25,A16,'Pre-GO'!I5:I25,"Fatto")+COUNTIFS('Post-GO'!K5:K53,A16,'Post-GO'!I5:I53,"Fatto")</f>
        <v/>
      </c>
    </row>
    <row r="17">
      <c r="A17" t="inlineStr">
        <is>
          <t>Da assegnare</t>
        </is>
      </c>
      <c r="B17">
        <f>COUNTIF('Pre-GO'!K5:K25,A17)</f>
        <v/>
      </c>
      <c r="C17">
        <f>COUNTIF('Post-GO'!K5:K53,A17)</f>
        <v/>
      </c>
      <c r="D17">
        <f>B17+C17</f>
        <v/>
      </c>
      <c r="E17">
        <f>COUNTIFS('Pre-GO'!K5:K25,A17,'Pre-GO'!I5:I25,"Fatto")+COUNTIFS('Post-GO'!K5:K53,A17,'Post-GO'!I5:I53,"Fatto")</f>
        <v/>
      </c>
    </row>
    <row r="20">
      <c r="A20" s="2" t="inlineStr">
        <is>
          <t>Pacchetto</t>
        </is>
      </c>
      <c r="B20" s="2" t="inlineStr">
        <is>
          <t>Task</t>
        </is>
      </c>
      <c r="C20" s="2" t="inlineStr">
        <is>
          <t>Fatti</t>
        </is>
      </c>
      <c r="D20" s="2" t="inlineStr">
        <is>
          <t>In corso</t>
        </is>
      </c>
      <c r="E20" s="2" t="inlineStr">
        <is>
          <t>Da fare</t>
        </is>
      </c>
      <c r="F20" s="2" t="inlineStr">
        <is>
          <t>%</t>
        </is>
      </c>
    </row>
    <row r="21">
      <c r="A21" t="inlineStr">
        <is>
          <t>PK-00 · Discovery (ADR, Costituzione, runtime)</t>
        </is>
      </c>
      <c r="B21">
        <f>COUNTIF('Pre-GO'!D5:D25,"PK-00")+COUNTIF('Post-GO'!D5:D53,"PK-00")</f>
        <v/>
      </c>
      <c r="C21">
        <f>COUNTIFS('Pre-GO'!D5:D25,"PK-00",'Pre-GO'!I5:I25,"Fatto")+COUNTIFS('Post-GO'!D5:D53,"PK-00",'Post-GO'!I5:I53,"Fatto")</f>
        <v/>
      </c>
      <c r="D21">
        <f>COUNTIFS('Pre-GO'!D5:D25,"PK-00",'Pre-GO'!I5:I25,"In corso")+COUNTIFS('Post-GO'!D5:D53,"PK-00",'Post-GO'!I5:I53,"In corso")</f>
        <v/>
      </c>
      <c r="E21">
        <f>COUNTIFS('Pre-GO'!D5:D25,"PK-00",'Pre-GO'!I5:I25,"Da fare")+COUNTIFS('Post-GO'!D5:D53,"PK-00",'Post-GO'!I5:I53,"Da fare")</f>
        <v/>
      </c>
      <c r="F21" s="5">
        <f>IF(B21=0,0,C21/B21)</f>
        <v/>
      </c>
    </row>
    <row r="22">
      <c r="A22" t="inlineStr">
        <is>
          <t>PK-01 · Contratti JSON</t>
        </is>
      </c>
      <c r="B22">
        <f>COUNTIF('Pre-GO'!D5:D25,"PK-01")+COUNTIF('Post-GO'!D5:D53,"PK-01")</f>
        <v/>
      </c>
      <c r="C22">
        <f>COUNTIFS('Pre-GO'!D5:D25,"PK-01",'Pre-GO'!I5:I25,"Fatto")+COUNTIFS('Post-GO'!D5:D53,"PK-01",'Post-GO'!I5:I53,"Fatto")</f>
        <v/>
      </c>
      <c r="D22">
        <f>COUNTIFS('Pre-GO'!D5:D25,"PK-01",'Pre-GO'!I5:I25,"In corso")+COUNTIFS('Post-GO'!D5:D53,"PK-01",'Post-GO'!I5:I53,"In corso")</f>
        <v/>
      </c>
      <c r="E22">
        <f>COUNTIFS('Pre-GO'!D5:D25,"PK-01",'Pre-GO'!I5:I25,"Da fare")+COUNTIFS('Post-GO'!D5:D53,"PK-01",'Post-GO'!I5:I53,"Da fare")</f>
        <v/>
      </c>
      <c r="F22" s="5">
        <f>IF(B22=0,0,C22/B22)</f>
        <v/>
      </c>
    </row>
    <row r="23">
      <c r="A23" t="inlineStr">
        <is>
          <t>PK-02 · Inventario e ledger ECC</t>
        </is>
      </c>
      <c r="B23">
        <f>COUNTIF('Pre-GO'!D5:D25,"PK-02")+COUNTIF('Post-GO'!D5:D53,"PK-02")</f>
        <v/>
      </c>
      <c r="C23">
        <f>COUNTIFS('Pre-GO'!D5:D25,"PK-02",'Pre-GO'!I5:I25,"Fatto")+COUNTIFS('Post-GO'!D5:D53,"PK-02",'Post-GO'!I5:I53,"Fatto")</f>
        <v/>
      </c>
      <c r="D23">
        <f>COUNTIFS('Pre-GO'!D5:D25,"PK-02",'Pre-GO'!I5:I25,"In corso")+COUNTIFS('Post-GO'!D5:D53,"PK-02",'Post-GO'!I5:I53,"In corso")</f>
        <v/>
      </c>
      <c r="E23">
        <f>COUNTIFS('Pre-GO'!D5:D25,"PK-02",'Pre-GO'!I5:I25,"Da fare")+COUNTIFS('Post-GO'!D5:D53,"PK-02",'Post-GO'!I5:I53,"Da fare")</f>
        <v/>
      </c>
      <c r="F23" s="5">
        <f>IF(B23=0,0,C23/B23)</f>
        <v/>
      </c>
    </row>
    <row r="24">
      <c r="A24" t="inlineStr">
        <is>
          <t>PK-03 · Revisione asset e matrice catena</t>
        </is>
      </c>
      <c r="B24">
        <f>COUNTIF('Pre-GO'!D5:D25,"PK-03")+COUNTIF('Post-GO'!D5:D53,"PK-03")</f>
        <v/>
      </c>
      <c r="C24">
        <f>COUNTIFS('Pre-GO'!D5:D25,"PK-03",'Pre-GO'!I5:I25,"Fatto")+COUNTIFS('Post-GO'!D5:D53,"PK-03",'Post-GO'!I5:I53,"Fatto")</f>
        <v/>
      </c>
      <c r="D24">
        <f>COUNTIFS('Pre-GO'!D5:D25,"PK-03",'Pre-GO'!I5:I25,"In corso")+COUNTIFS('Post-GO'!D5:D53,"PK-03",'Post-GO'!I5:I53,"In corso")</f>
        <v/>
      </c>
      <c r="E24">
        <f>COUNTIFS('Pre-GO'!D5:D25,"PK-03",'Pre-GO'!I5:I25,"Da fare")+COUNTIFS('Post-GO'!D5:D53,"PK-03",'Post-GO'!I5:I53,"Da fare")</f>
        <v/>
      </c>
      <c r="F24" s="5">
        <f>IF(B24=0,0,C24/B24)</f>
        <v/>
      </c>
    </row>
    <row r="25">
      <c r="A25" t="inlineStr">
        <is>
          <t>PK-04 · Import LIMET/CEREBRO nel monorepo (azione del SUPERVISORE)</t>
        </is>
      </c>
      <c r="B25">
        <f>COUNTIF('Pre-GO'!D5:D25,"PK-04")+COUNTIF('Post-GO'!D5:D53,"PK-04")</f>
        <v/>
      </c>
      <c r="C25">
        <f>COUNTIFS('Pre-GO'!D5:D25,"PK-04",'Pre-GO'!I5:I25,"Fatto")+COUNTIFS('Post-GO'!D5:D53,"PK-04",'Post-GO'!I5:I53,"Fatto")</f>
        <v/>
      </c>
      <c r="D25">
        <f>COUNTIFS('Pre-GO'!D5:D25,"PK-04",'Pre-GO'!I5:I25,"In corso")+COUNTIFS('Post-GO'!D5:D53,"PK-04",'Post-GO'!I5:I53,"In corso")</f>
        <v/>
      </c>
      <c r="E25">
        <f>COUNTIFS('Pre-GO'!D5:D25,"PK-04",'Pre-GO'!I5:I25,"Da fare")+COUNTIFS('Post-GO'!D5:D53,"PK-04",'Post-GO'!I5:I53,"Da fare")</f>
        <v/>
      </c>
      <c r="F25" s="5">
        <f>IF(B25=0,0,C25/B25)</f>
        <v/>
      </c>
    </row>
    <row r="26">
      <c r="A26" t="inlineStr">
        <is>
          <t>PK-05 · CI a matrice (3 OS)</t>
        </is>
      </c>
      <c r="B26">
        <f>COUNTIF('Pre-GO'!D5:D25,"PK-05")+COUNTIF('Post-GO'!D5:D53,"PK-05")</f>
        <v/>
      </c>
      <c r="C26">
        <f>COUNTIFS('Pre-GO'!D5:D25,"PK-05",'Pre-GO'!I5:I25,"Fatto")+COUNTIFS('Post-GO'!D5:D53,"PK-05",'Post-GO'!I5:I53,"Fatto")</f>
        <v/>
      </c>
      <c r="D26">
        <f>COUNTIFS('Pre-GO'!D5:D25,"PK-05",'Pre-GO'!I5:I25,"In corso")+COUNTIFS('Post-GO'!D5:D53,"PK-05",'Post-GO'!I5:I53,"In corso")</f>
        <v/>
      </c>
      <c r="E26">
        <f>COUNTIFS('Pre-GO'!D5:D25,"PK-05",'Pre-GO'!I5:I25,"Da fare")+COUNTIFS('Post-GO'!D5:D53,"PK-05",'Post-GO'!I5:I53,"Da fare")</f>
        <v/>
      </c>
      <c r="F26" s="5">
        <f>IF(B26=0,0,C26/B26)</f>
        <v/>
      </c>
    </row>
    <row r="27">
      <c r="A27" t="inlineStr">
        <is>
          <t>PK-05b · Segreti fuori dal repo</t>
        </is>
      </c>
      <c r="B27">
        <f>COUNTIF('Pre-GO'!D5:D25,"PK-05b")+COUNTIF('Post-GO'!D5:D53,"PK-05b")</f>
        <v/>
      </c>
      <c r="C27">
        <f>COUNTIFS('Pre-GO'!D5:D25,"PK-05b",'Pre-GO'!I5:I25,"Fatto")+COUNTIFS('Post-GO'!D5:D53,"PK-05b",'Post-GO'!I5:I53,"Fatto")</f>
        <v/>
      </c>
      <c r="D27">
        <f>COUNTIFS('Pre-GO'!D5:D25,"PK-05b",'Pre-GO'!I5:I25,"In corso")+COUNTIFS('Post-GO'!D5:D53,"PK-05b",'Post-GO'!I5:I53,"In corso")</f>
        <v/>
      </c>
      <c r="E27">
        <f>COUNTIFS('Pre-GO'!D5:D25,"PK-05b",'Pre-GO'!I5:I25,"Da fare")+COUNTIFS('Post-GO'!D5:D53,"PK-05b",'Post-GO'!I5:I53,"Da fare")</f>
        <v/>
      </c>
      <c r="F27" s="5">
        <f>IF(B27=0,0,C27/B27)</f>
        <v/>
      </c>
    </row>
    <row r="28">
      <c r="A28" t="inlineStr">
        <is>
          <t>PK-06 · Shim compat e test confini</t>
        </is>
      </c>
      <c r="B28">
        <f>COUNTIF('Pre-GO'!D5:D25,"PK-06")+COUNTIF('Post-GO'!D5:D53,"PK-06")</f>
        <v/>
      </c>
      <c r="C28">
        <f>COUNTIFS('Pre-GO'!D5:D25,"PK-06",'Pre-GO'!I5:I25,"Fatto")+COUNTIFS('Post-GO'!D5:D53,"PK-06",'Post-GO'!I5:I53,"Fatto")</f>
        <v/>
      </c>
      <c r="D28">
        <f>COUNTIFS('Pre-GO'!D5:D25,"PK-06",'Pre-GO'!I5:I25,"In corso")+COUNTIFS('Post-GO'!D5:D53,"PK-06",'Post-GO'!I5:I53,"In corso")</f>
        <v/>
      </c>
      <c r="E28">
        <f>COUNTIFS('Pre-GO'!D5:D25,"PK-06",'Pre-GO'!I5:I25,"Da fare")+COUNTIFS('Post-GO'!D5:D53,"PK-06",'Post-GO'!I5:I53,"Da fare")</f>
        <v/>
      </c>
      <c r="F28" s="5">
        <f>IF(B28=0,0,C28/B28)</f>
        <v/>
      </c>
    </row>
    <row r="29">
      <c r="A29" t="inlineStr">
        <is>
          <t>PK-07 · Correzione percorso CEREBRO in CLAUDE.md</t>
        </is>
      </c>
      <c r="B29">
        <f>COUNTIF('Pre-GO'!D5:D25,"PK-07")+COUNTIF('Post-GO'!D5:D53,"PK-07")</f>
        <v/>
      </c>
      <c r="C29">
        <f>COUNTIFS('Pre-GO'!D5:D25,"PK-07",'Pre-GO'!I5:I25,"Fatto")+COUNTIFS('Post-GO'!D5:D53,"PK-07",'Post-GO'!I5:I53,"Fatto")</f>
        <v/>
      </c>
      <c r="D29">
        <f>COUNTIFS('Pre-GO'!D5:D25,"PK-07",'Pre-GO'!I5:I25,"In corso")+COUNTIFS('Post-GO'!D5:D53,"PK-07",'Post-GO'!I5:I53,"In corso")</f>
        <v/>
      </c>
      <c r="E29">
        <f>COUNTIFS('Pre-GO'!D5:D25,"PK-07",'Pre-GO'!I5:I25,"Da fare")+COUNTIFS('Post-GO'!D5:D53,"PK-07",'Post-GO'!I5:I53,"Da fare")</f>
        <v/>
      </c>
      <c r="F29" s="5">
        <f>IF(B29=0,0,C29/B29)</f>
        <v/>
      </c>
    </row>
    <row r="30">
      <c r="A30" t="inlineStr">
        <is>
          <t>PK-08 · Runner con allowlist e policy permessi</t>
        </is>
      </c>
      <c r="B30">
        <f>COUNTIF('Pre-GO'!D5:D25,"PK-08")+COUNTIF('Post-GO'!D5:D53,"PK-08")</f>
        <v/>
      </c>
      <c r="C30">
        <f>COUNTIFS('Pre-GO'!D5:D25,"PK-08",'Pre-GO'!I5:I25,"Fatto")+COUNTIFS('Post-GO'!D5:D53,"PK-08",'Post-GO'!I5:I53,"Fatto")</f>
        <v/>
      </c>
      <c r="D30">
        <f>COUNTIFS('Pre-GO'!D5:D25,"PK-08",'Pre-GO'!I5:I25,"In corso")+COUNTIFS('Post-GO'!D5:D53,"PK-08",'Post-GO'!I5:I53,"In corso")</f>
        <v/>
      </c>
      <c r="E30">
        <f>COUNTIFS('Pre-GO'!D5:D25,"PK-08",'Pre-GO'!I5:I25,"Da fare")+COUNTIFS('Post-GO'!D5:D53,"PK-08",'Post-GO'!I5:I53,"Da fare")</f>
        <v/>
      </c>
      <c r="F30" s="5">
        <f>IF(B30=0,0,C30/B30)</f>
        <v/>
      </c>
    </row>
    <row r="31">
      <c r="A31" t="inlineStr">
        <is>
          <t>PK-09 · Ruoli PoC (analyst, developer, reviewer)</t>
        </is>
      </c>
      <c r="B31">
        <f>COUNTIF('Pre-GO'!D5:D25,"PK-09")+COUNTIF('Post-GO'!D5:D53,"PK-09")</f>
        <v/>
      </c>
      <c r="C31">
        <f>COUNTIFS('Pre-GO'!D5:D25,"PK-09",'Pre-GO'!I5:I25,"Fatto")+COUNTIFS('Post-GO'!D5:D53,"PK-09",'Post-GO'!I5:I53,"Fatto")</f>
        <v/>
      </c>
      <c r="D31">
        <f>COUNTIFS('Pre-GO'!D5:D25,"PK-09",'Pre-GO'!I5:I25,"In corso")+COUNTIFS('Post-GO'!D5:D53,"PK-09",'Post-GO'!I5:I53,"In corso")</f>
        <v/>
      </c>
      <c r="E31">
        <f>COUNTIFS('Pre-GO'!D5:D25,"PK-09",'Pre-GO'!I5:I25,"Da fare")+COUNTIFS('Post-GO'!D5:D53,"PK-09",'Post-GO'!I5:I53,"Da fare")</f>
        <v/>
      </c>
      <c r="F31" s="5">
        <f>IF(B31=0,0,C31/B31)</f>
        <v/>
      </c>
    </row>
    <row r="32">
      <c r="A32" t="inlineStr">
        <is>
          <t>PK-10 · Gate umano meccanico sul PLAN</t>
        </is>
      </c>
      <c r="B32">
        <f>COUNTIF('Pre-GO'!D5:D25,"PK-10")+COUNTIF('Post-GO'!D5:D53,"PK-10")</f>
        <v/>
      </c>
      <c r="C32">
        <f>COUNTIFS('Pre-GO'!D5:D25,"PK-10",'Pre-GO'!I5:I25,"Fatto")+COUNTIFS('Post-GO'!D5:D53,"PK-10",'Post-GO'!I5:I53,"Fatto")</f>
        <v/>
      </c>
      <c r="D32">
        <f>COUNTIFS('Pre-GO'!D5:D25,"PK-10",'Pre-GO'!I5:I25,"In corso")+COUNTIFS('Post-GO'!D5:D53,"PK-10",'Post-GO'!I5:I53,"In corso")</f>
        <v/>
      </c>
      <c r="E32">
        <f>COUNTIFS('Pre-GO'!D5:D25,"PK-10",'Pre-GO'!I5:I25,"Da fare")+COUNTIFS('Post-GO'!D5:D53,"PK-10",'Post-GO'!I5:I53,"Da fare")</f>
        <v/>
      </c>
      <c r="F32" s="5">
        <f>IF(B32=0,0,C32/B32)</f>
        <v/>
      </c>
    </row>
    <row r="33">
      <c r="A33" t="inlineStr">
        <is>
          <t>PK-11 · Prova del plugin Claude Code (V13/V14)</t>
        </is>
      </c>
      <c r="B33">
        <f>COUNTIF('Pre-GO'!D5:D25,"PK-11")+COUNTIF('Post-GO'!D5:D53,"PK-11")</f>
        <v/>
      </c>
      <c r="C33">
        <f>COUNTIFS('Pre-GO'!D5:D25,"PK-11",'Pre-GO'!I5:I25,"Fatto")+COUNTIFS('Post-GO'!D5:D53,"PK-11",'Post-GO'!I5:I53,"Fatto")</f>
        <v/>
      </c>
      <c r="D33">
        <f>COUNTIFS('Pre-GO'!D5:D25,"PK-11",'Pre-GO'!I5:I25,"In corso")+COUNTIFS('Post-GO'!D5:D53,"PK-11",'Post-GO'!I5:I53,"In corso")</f>
        <v/>
      </c>
      <c r="E33">
        <f>COUNTIFS('Pre-GO'!D5:D25,"PK-11",'Pre-GO'!I5:I25,"Da fare")+COUNTIFS('Post-GO'!D5:D53,"PK-11",'Post-GO'!I5:I53,"Da fare")</f>
        <v/>
      </c>
      <c r="F33" s="5">
        <f>IF(B33=0,0,C33/B33)</f>
        <v/>
      </c>
    </row>
    <row r="34">
      <c r="A34" t="inlineStr">
        <is>
          <t>PK-12 · Asset ECC portato + A/B</t>
        </is>
      </c>
      <c r="B34">
        <f>COUNTIF('Pre-GO'!D5:D25,"PK-12")+COUNTIF('Post-GO'!D5:D53,"PK-12")</f>
        <v/>
      </c>
      <c r="C34">
        <f>COUNTIFS('Pre-GO'!D5:D25,"PK-12",'Pre-GO'!I5:I25,"Fatto")+COUNTIFS('Post-GO'!D5:D53,"PK-12",'Post-GO'!I5:I53,"Fatto")</f>
        <v/>
      </c>
      <c r="D34">
        <f>COUNTIFS('Pre-GO'!D5:D25,"PK-12",'Pre-GO'!I5:I25,"In corso")+COUNTIFS('Post-GO'!D5:D53,"PK-12",'Post-GO'!I5:I53,"In corso")</f>
        <v/>
      </c>
      <c r="E34">
        <f>COUNTIFS('Pre-GO'!D5:D25,"PK-12",'Pre-GO'!I5:I25,"Da fare")+COUNTIFS('Post-GO'!D5:D53,"PK-12",'Post-GO'!I5:I53,"Da fare")</f>
        <v/>
      </c>
      <c r="F34" s="5">
        <f>IF(B34=0,0,C34/B34)</f>
        <v/>
      </c>
    </row>
    <row r="35">
      <c r="A35" t="inlineStr">
        <is>
          <t>PK-13 · Rapporto go/no-go (compila NARO, decide il SUPERVISORE)</t>
        </is>
      </c>
      <c r="B35">
        <f>COUNTIF('Pre-GO'!D5:D25,"PK-13")+COUNTIF('Post-GO'!D5:D53,"PK-13")</f>
        <v/>
      </c>
      <c r="C35">
        <f>COUNTIFS('Pre-GO'!D5:D25,"PK-13",'Pre-GO'!I5:I25,"Fatto")+COUNTIFS('Post-GO'!D5:D53,"PK-13",'Post-GO'!I5:I53,"Fatto")</f>
        <v/>
      </c>
      <c r="D35">
        <f>COUNTIFS('Pre-GO'!D5:D25,"PK-13",'Pre-GO'!I5:I25,"In corso")+COUNTIFS('Post-GO'!D5:D53,"PK-13",'Post-GO'!I5:I53,"In corso")</f>
        <v/>
      </c>
      <c r="E35">
        <f>COUNTIFS('Pre-GO'!D5:D25,"PK-13",'Pre-GO'!I5:I25,"Da fare")+COUNTIFS('Post-GO'!D5:D53,"PK-13",'Post-GO'!I5:I53,"Da fare")</f>
        <v/>
      </c>
      <c r="F35" s="5">
        <f>IF(B35=0,0,C35/B35)</f>
        <v/>
      </c>
    </row>
    <row r="36">
      <c r="A36" t="inlineStr">
        <is>
          <t>PK-14 · Contratti della catena e skill runner</t>
        </is>
      </c>
      <c r="B36">
        <f>COUNTIF('Pre-GO'!D5:D25,"PK-14")+COUNTIF('Post-GO'!D5:D53,"PK-14")</f>
        <v/>
      </c>
      <c r="C36">
        <f>COUNTIFS('Pre-GO'!D5:D25,"PK-14",'Pre-GO'!I5:I25,"Fatto")+COUNTIFS('Post-GO'!D5:D53,"PK-14",'Post-GO'!I5:I53,"Fatto")</f>
        <v/>
      </c>
      <c r="D36">
        <f>COUNTIFS('Pre-GO'!D5:D25,"PK-14",'Pre-GO'!I5:I25,"In corso")+COUNTIFS('Post-GO'!D5:D53,"PK-14",'Post-GO'!I5:I53,"In corso")</f>
        <v/>
      </c>
      <c r="E36">
        <f>COUNTIFS('Pre-GO'!D5:D25,"PK-14",'Pre-GO'!I5:I25,"Da fare")+COUNTIFS('Post-GO'!D5:D53,"PK-14",'Post-GO'!I5:I53,"Da fare")</f>
        <v/>
      </c>
      <c r="F36" s="5">
        <f>IF(B36=0,0,C36/B36)</f>
        <v/>
      </c>
    </row>
    <row r="37">
      <c r="A37" t="inlineStr">
        <is>
          <t>PK-15 · Scheduler e regole comuni dei ruoli</t>
        </is>
      </c>
      <c r="B37">
        <f>COUNTIF('Pre-GO'!D5:D25,"PK-15")+COUNTIF('Post-GO'!D5:D53,"PK-15")</f>
        <v/>
      </c>
      <c r="C37">
        <f>COUNTIFS('Pre-GO'!D5:D25,"PK-15",'Pre-GO'!I5:I25,"Fatto")+COUNTIFS('Post-GO'!D5:D53,"PK-15",'Post-GO'!I5:I53,"Fatto")</f>
        <v/>
      </c>
      <c r="D37">
        <f>COUNTIFS('Pre-GO'!D5:D25,"PK-15",'Pre-GO'!I5:I25,"In corso")+COUNTIFS('Post-GO'!D5:D53,"PK-15",'Post-GO'!I5:I53,"In corso")</f>
        <v/>
      </c>
      <c r="E37">
        <f>COUNTIFS('Pre-GO'!D5:D25,"PK-15",'Pre-GO'!I5:I25,"Da fare")+COUNTIFS('Post-GO'!D5:D53,"PK-15",'Post-GO'!I5:I53,"Da fare")</f>
        <v/>
      </c>
      <c r="F37" s="5">
        <f>IF(B37=0,0,C37/B37)</f>
        <v/>
      </c>
    </row>
    <row r="38">
      <c r="A38" t="inlineStr">
        <is>
          <t>PK-16 · Porting asset ECC</t>
        </is>
      </c>
      <c r="B38">
        <f>COUNTIF('Pre-GO'!D5:D25,"PK-16")+COUNTIF('Post-GO'!D5:D53,"PK-16")</f>
        <v/>
      </c>
      <c r="C38">
        <f>COUNTIFS('Pre-GO'!D5:D25,"PK-16",'Pre-GO'!I5:I25,"Fatto")+COUNTIFS('Post-GO'!D5:D53,"PK-16",'Post-GO'!I5:I53,"Fatto")</f>
        <v/>
      </c>
      <c r="D38">
        <f>COUNTIFS('Pre-GO'!D5:D25,"PK-16",'Pre-GO'!I5:I25,"In corso")+COUNTIFS('Post-GO'!D5:D53,"PK-16",'Post-GO'!I5:I53,"In corso")</f>
        <v/>
      </c>
      <c r="E38">
        <f>COUNTIFS('Pre-GO'!D5:D25,"PK-16",'Pre-GO'!I5:I25,"Da fare")+COUNTIFS('Post-GO'!D5:D53,"PK-16",'Post-GO'!I5:I53,"Da fare")</f>
        <v/>
      </c>
      <c r="F38" s="5">
        <f>IF(B38=0,0,C38/B38)</f>
        <v/>
      </c>
    </row>
    <row r="39">
      <c r="A39" t="inlineStr">
        <is>
          <t>PK-17 · Ruoli di sviluppo</t>
        </is>
      </c>
      <c r="B39">
        <f>COUNTIF('Pre-GO'!D5:D25,"PK-17")+COUNTIF('Post-GO'!D5:D53,"PK-17")</f>
        <v/>
      </c>
      <c r="C39">
        <f>COUNTIFS('Pre-GO'!D5:D25,"PK-17",'Pre-GO'!I5:I25,"Fatto")+COUNTIFS('Post-GO'!D5:D53,"PK-17",'Post-GO'!I5:I53,"Fatto")</f>
        <v/>
      </c>
      <c r="D39">
        <f>COUNTIFS('Pre-GO'!D5:D25,"PK-17",'Pre-GO'!I5:I25,"In corso")+COUNTIFS('Post-GO'!D5:D53,"PK-17",'Post-GO'!I5:I53,"In corso")</f>
        <v/>
      </c>
      <c r="E39">
        <f>COUNTIFS('Pre-GO'!D5:D25,"PK-17",'Pre-GO'!I5:I25,"Da fare")+COUNTIFS('Post-GO'!D5:D53,"PK-17",'Post-GO'!I5:I53,"Da fare")</f>
        <v/>
      </c>
      <c r="F39" s="5">
        <f>IF(B39=0,0,C39/B39)</f>
        <v/>
      </c>
    </row>
    <row r="40">
      <c r="A40" t="inlineStr">
        <is>
          <t>PK-18 · Ruoli di controllo</t>
        </is>
      </c>
      <c r="B40">
        <f>COUNTIF('Pre-GO'!D5:D25,"PK-18")+COUNTIF('Post-GO'!D5:D53,"PK-18")</f>
        <v/>
      </c>
      <c r="C40">
        <f>COUNTIFS('Pre-GO'!D5:D25,"PK-18",'Pre-GO'!I5:I25,"Fatto")+COUNTIFS('Post-GO'!D5:D53,"PK-18",'Post-GO'!I5:I53,"Fatto")</f>
        <v/>
      </c>
      <c r="D40">
        <f>COUNTIFS('Pre-GO'!D5:D25,"PK-18",'Pre-GO'!I5:I25,"In corso")+COUNTIFS('Post-GO'!D5:D53,"PK-18",'Post-GO'!I5:I53,"In corso")</f>
        <v/>
      </c>
      <c r="E40">
        <f>COUNTIFS('Pre-GO'!D5:D25,"PK-18",'Pre-GO'!I5:I25,"Da fare")+COUNTIFS('Post-GO'!D5:D53,"PK-18",'Post-GO'!I5:I53,"Da fare")</f>
        <v/>
      </c>
      <c r="F40" s="5">
        <f>IF(B40=0,0,C40/B40)</f>
        <v/>
      </c>
    </row>
    <row r="41">
      <c r="A41" t="inlineStr">
        <is>
          <t>PK-19 · Workflow core e permessi tool</t>
        </is>
      </c>
      <c r="B41">
        <f>COUNTIF('Pre-GO'!D5:D25,"PK-19")+COUNTIF('Post-GO'!D5:D53,"PK-19")</f>
        <v/>
      </c>
      <c r="C41">
        <f>COUNTIFS('Pre-GO'!D5:D25,"PK-19",'Pre-GO'!I5:I25,"Fatto")+COUNTIFS('Post-GO'!D5:D53,"PK-19",'Post-GO'!I5:I53,"Fatto")</f>
        <v/>
      </c>
      <c r="D41">
        <f>COUNTIFS('Pre-GO'!D5:D25,"PK-19",'Pre-GO'!I5:I25,"In corso")+COUNTIFS('Post-GO'!D5:D53,"PK-19",'Post-GO'!I5:I53,"In corso")</f>
        <v/>
      </c>
      <c r="E41">
        <f>COUNTIFS('Pre-GO'!D5:D25,"PK-19",'Pre-GO'!I5:I25,"Da fare")+COUNTIFS('Post-GO'!D5:D53,"PK-19",'Post-GO'!I5:I53,"Da fare")</f>
        <v/>
      </c>
      <c r="F41" s="5">
        <f>IF(B41=0,0,C41/B41)</f>
        <v/>
      </c>
    </row>
    <row r="42">
      <c r="A42" t="inlineStr">
        <is>
          <t>PK-20 · Stato/eventi, report e gate di merge</t>
        </is>
      </c>
      <c r="B42">
        <f>COUNTIF('Pre-GO'!D5:D25,"PK-20")+COUNTIF('Post-GO'!D5:D53,"PK-20")</f>
        <v/>
      </c>
      <c r="C42">
        <f>COUNTIFS('Pre-GO'!D5:D25,"PK-20",'Pre-GO'!I5:I25,"Fatto")+COUNTIFS('Post-GO'!D5:D53,"PK-20",'Post-GO'!I5:I53,"Fatto")</f>
        <v/>
      </c>
      <c r="D42">
        <f>COUNTIFS('Pre-GO'!D5:D25,"PK-20",'Pre-GO'!I5:I25,"In corso")+COUNTIFS('Post-GO'!D5:D53,"PK-20",'Post-GO'!I5:I53,"In corso")</f>
        <v/>
      </c>
      <c r="E42">
        <f>COUNTIFS('Pre-GO'!D5:D25,"PK-20",'Pre-GO'!I5:I25,"Da fare")+COUNTIFS('Post-GO'!D5:D53,"PK-20",'Post-GO'!I5:I53,"Da fare")</f>
        <v/>
      </c>
      <c r="F42" s="5">
        <f>IF(B42=0,0,C42/B42)</f>
        <v/>
      </c>
    </row>
    <row r="43">
      <c r="A43" t="inlineStr">
        <is>
          <t>PK-21 · Valutazione rischi di prodotto (C28)</t>
        </is>
      </c>
      <c r="B43">
        <f>COUNTIF('Pre-GO'!D5:D25,"PK-21")+COUNTIF('Post-GO'!D5:D53,"PK-21")</f>
        <v/>
      </c>
      <c r="C43">
        <f>COUNTIFS('Pre-GO'!D5:D25,"PK-21",'Pre-GO'!I5:I25,"Fatto")+COUNTIFS('Post-GO'!D5:D53,"PK-21",'Post-GO'!I5:I53,"Fatto")</f>
        <v/>
      </c>
      <c r="D43">
        <f>COUNTIFS('Pre-GO'!D5:D25,"PK-21",'Pre-GO'!I5:I25,"In corso")+COUNTIFS('Post-GO'!D5:D53,"PK-21",'Post-GO'!I5:I53,"In corso")</f>
        <v/>
      </c>
      <c r="E43">
        <f>COUNTIFS('Pre-GO'!D5:D25,"PK-21",'Pre-GO'!I5:I25,"Da fare")+COUNTIFS('Post-GO'!D5:D53,"PK-21",'Post-GO'!I5:I53,"Da fare")</f>
        <v/>
      </c>
      <c r="F43" s="5">
        <f>IF(B43=0,0,C43/B43)</f>
        <v/>
      </c>
    </row>
    <row r="44">
      <c r="A44" t="inlineStr">
        <is>
          <t>PK-22 · Installer e modifiche documentali a LIMET</t>
        </is>
      </c>
      <c r="B44">
        <f>COUNTIF('Pre-GO'!D5:D25,"PK-22")+COUNTIF('Post-GO'!D5:D53,"PK-22")</f>
        <v/>
      </c>
      <c r="C44">
        <f>COUNTIFS('Pre-GO'!D5:D25,"PK-22",'Pre-GO'!I5:I25,"Fatto")+COUNTIFS('Post-GO'!D5:D53,"PK-22",'Post-GO'!I5:I53,"Fatto")</f>
        <v/>
      </c>
      <c r="D44">
        <f>COUNTIFS('Pre-GO'!D5:D25,"PK-22",'Pre-GO'!I5:I25,"In corso")+COUNTIFS('Post-GO'!D5:D53,"PK-22",'Post-GO'!I5:I53,"In corso")</f>
        <v/>
      </c>
      <c r="E44">
        <f>COUNTIFS('Pre-GO'!D5:D25,"PK-22",'Pre-GO'!I5:I25,"Da fare")+COUNTIFS('Post-GO'!D5:D53,"PK-22",'Post-GO'!I5:I53,"Da fare")</f>
        <v/>
      </c>
      <c r="F44" s="5">
        <f>IF(B44=0,0,C44/B44)</f>
        <v/>
      </c>
    </row>
    <row r="45">
      <c r="A45" t="inlineStr">
        <is>
          <t>PK-23 · Hook ECC e registro chiamate LLM</t>
        </is>
      </c>
      <c r="B45">
        <f>COUNTIF('Pre-GO'!D5:D25,"PK-23")+COUNTIF('Post-GO'!D5:D53,"PK-23")</f>
        <v/>
      </c>
      <c r="C45">
        <f>COUNTIFS('Pre-GO'!D5:D25,"PK-23",'Pre-GO'!I5:I25,"Fatto")+COUNTIFS('Post-GO'!D5:D53,"PK-23",'Post-GO'!I5:I53,"Fatto")</f>
        <v/>
      </c>
      <c r="D45">
        <f>COUNTIFS('Pre-GO'!D5:D25,"PK-23",'Pre-GO'!I5:I25,"In corso")+COUNTIFS('Post-GO'!D5:D53,"PK-23",'Post-GO'!I5:I53,"In corso")</f>
        <v/>
      </c>
      <c r="E45">
        <f>COUNTIFS('Pre-GO'!D5:D25,"PK-23",'Pre-GO'!I5:I25,"Da fare")+COUNTIFS('Post-GO'!D5:D53,"PK-23",'Post-GO'!I5:I53,"Da fare")</f>
        <v/>
      </c>
      <c r="F45" s="5">
        <f>IF(B45=0,0,C45/B45)</f>
        <v/>
      </c>
    </row>
    <row r="46">
      <c r="A46" t="inlineStr">
        <is>
          <t>PK-24 · Knowledge base HLS_* e accesso agenti</t>
        </is>
      </c>
      <c r="B46">
        <f>COUNTIF('Pre-GO'!D5:D25,"PK-24")+COUNTIF('Post-GO'!D5:D53,"PK-24")</f>
        <v/>
      </c>
      <c r="C46">
        <f>COUNTIFS('Pre-GO'!D5:D25,"PK-24",'Pre-GO'!I5:I25,"Fatto")+COUNTIFS('Post-GO'!D5:D53,"PK-24",'Post-GO'!I5:I53,"Fatto")</f>
        <v/>
      </c>
      <c r="D46">
        <f>COUNTIFS('Pre-GO'!D5:D25,"PK-24",'Pre-GO'!I5:I25,"In corso")+COUNTIFS('Post-GO'!D5:D53,"PK-24",'Post-GO'!I5:I53,"In corso")</f>
        <v/>
      </c>
      <c r="E46">
        <f>COUNTIFS('Pre-GO'!D5:D25,"PK-24",'Pre-GO'!I5:I25,"Da fare")+COUNTIFS('Post-GO'!D5:D53,"PK-24",'Post-GO'!I5:I53,"Da fare")</f>
        <v/>
      </c>
      <c r="F46" s="5">
        <f>IF(B46=0,0,C46/B46)</f>
        <v/>
      </c>
    </row>
    <row r="47">
      <c r="A47" t="inlineStr">
        <is>
          <t>PK-25 · API loopback e read model</t>
        </is>
      </c>
      <c r="B47">
        <f>COUNTIF('Pre-GO'!D5:D25,"PK-25")+COUNTIF('Post-GO'!D5:D53,"PK-25")</f>
        <v/>
      </c>
      <c r="C47">
        <f>COUNTIFS('Pre-GO'!D5:D25,"PK-25",'Pre-GO'!I5:I25,"Fatto")+COUNTIFS('Post-GO'!D5:D53,"PK-25",'Post-GO'!I5:I53,"Fatto")</f>
        <v/>
      </c>
      <c r="D47">
        <f>COUNTIFS('Pre-GO'!D5:D25,"PK-25",'Pre-GO'!I5:I25,"In corso")+COUNTIFS('Post-GO'!D5:D53,"PK-25",'Post-GO'!I5:I53,"In corso")</f>
        <v/>
      </c>
      <c r="E47">
        <f>COUNTIFS('Pre-GO'!D5:D25,"PK-25",'Pre-GO'!I5:I25,"Da fare")+COUNTIFS('Post-GO'!D5:D53,"PK-25",'Post-GO'!I5:I53,"Da fare")</f>
        <v/>
      </c>
      <c r="F47" s="5">
        <f>IF(B47=0,0,C47/B47)</f>
        <v/>
      </c>
    </row>
    <row r="48">
      <c r="A48" t="inlineStr">
        <is>
          <t>PK-26 · UI (viste, permessi, grafica, npm) e sostituzione launcher</t>
        </is>
      </c>
      <c r="B48">
        <f>COUNTIF('Pre-GO'!D5:D25,"PK-26")+COUNTIF('Post-GO'!D5:D53,"PK-26")</f>
        <v/>
      </c>
      <c r="C48">
        <f>COUNTIFS('Pre-GO'!D5:D25,"PK-26",'Pre-GO'!I5:I25,"Fatto")+COUNTIFS('Post-GO'!D5:D53,"PK-26",'Post-GO'!I5:I53,"Fatto")</f>
        <v/>
      </c>
      <c r="D48">
        <f>COUNTIFS('Pre-GO'!D5:D25,"PK-26",'Pre-GO'!I5:I25,"In corso")+COUNTIFS('Post-GO'!D5:D53,"PK-26",'Post-GO'!I5:I53,"In corso")</f>
        <v/>
      </c>
      <c r="E48">
        <f>COUNTIFS('Pre-GO'!D5:D25,"PK-26",'Pre-GO'!I5:I25,"Da fare")+COUNTIFS('Post-GO'!D5:D53,"PK-26",'Post-GO'!I5:I53,"Da fare")</f>
        <v/>
      </c>
      <c r="F48" s="5">
        <f>IF(B48=0,0,C48/B48)</f>
        <v/>
      </c>
    </row>
    <row r="49">
      <c r="A49" t="inlineStr">
        <is>
          <t>PK-27 · Scenari E2E V1–V24</t>
        </is>
      </c>
      <c r="B49">
        <f>COUNTIF('Pre-GO'!D5:D25,"PK-27")+COUNTIF('Post-GO'!D5:D53,"PK-27")</f>
        <v/>
      </c>
      <c r="C49">
        <f>COUNTIFS('Pre-GO'!D5:D25,"PK-27",'Pre-GO'!I5:I25,"Fatto")+COUNTIFS('Post-GO'!D5:D53,"PK-27",'Post-GO'!I5:I53,"Fatto")</f>
        <v/>
      </c>
      <c r="D49">
        <f>COUNTIFS('Pre-GO'!D5:D25,"PK-27",'Pre-GO'!I5:I25,"In corso")+COUNTIFS('Post-GO'!D5:D53,"PK-27",'Post-GO'!I5:I53,"In corso")</f>
        <v/>
      </c>
      <c r="E49">
        <f>COUNTIFS('Pre-GO'!D5:D25,"PK-27",'Pre-GO'!I5:I25,"Da fare")+COUNTIFS('Post-GO'!D5:D53,"PK-27",'Post-GO'!I5:I53,"Da fare")</f>
        <v/>
      </c>
      <c r="F49" s="5">
        <f>IF(B49=0,0,C49/B49)</f>
        <v/>
      </c>
    </row>
    <row r="50">
      <c r="A50" t="inlineStr">
        <is>
          <t>PK-28 · README plugin e manuali</t>
        </is>
      </c>
      <c r="B50">
        <f>COUNTIF('Pre-GO'!D5:D25,"PK-28")+COUNTIF('Post-GO'!D5:D53,"PK-28")</f>
        <v/>
      </c>
      <c r="C50">
        <f>COUNTIFS('Pre-GO'!D5:D25,"PK-28",'Pre-GO'!I5:I25,"Fatto")+COUNTIFS('Post-GO'!D5:D53,"PK-28",'Post-GO'!I5:I53,"Fatto")</f>
        <v/>
      </c>
      <c r="D50">
        <f>COUNTIFS('Pre-GO'!D5:D25,"PK-28",'Pre-GO'!I5:I25,"In corso")+COUNTIFS('Post-GO'!D5:D53,"PK-28",'Post-GO'!I5:I53,"In corso")</f>
        <v/>
      </c>
      <c r="E50">
        <f>COUNTIFS('Pre-GO'!D5:D25,"PK-28",'Pre-GO'!I5:I25,"Da fare")+COUNTIFS('Post-GO'!D5:D53,"PK-28",'Post-GO'!I5:I53,"Da fare")</f>
        <v/>
      </c>
      <c r="F50" s="5">
        <f>IF(B50=0,0,C50/B50)</f>
        <v/>
      </c>
    </row>
    <row r="51">
      <c r="A51" t="inlineStr">
        <is>
          <t>PK-29 · Hardening</t>
        </is>
      </c>
      <c r="B51">
        <f>COUNTIF('Pre-GO'!D5:D25,"PK-29")+COUNTIF('Post-GO'!D5:D53,"PK-29")</f>
        <v/>
      </c>
      <c r="C51">
        <f>COUNTIFS('Pre-GO'!D5:D25,"PK-29",'Pre-GO'!I5:I25,"Fatto")+COUNTIFS('Post-GO'!D5:D53,"PK-29",'Post-GO'!I5:I53,"Fatto")</f>
        <v/>
      </c>
      <c r="D51">
        <f>COUNTIFS('Pre-GO'!D5:D25,"PK-29",'Pre-GO'!I5:I25,"In corso")+COUNTIFS('Post-GO'!D5:D53,"PK-29",'Post-GO'!I5:I53,"In corso")</f>
        <v/>
      </c>
      <c r="E51">
        <f>COUNTIFS('Pre-GO'!D5:D25,"PK-29",'Pre-GO'!I5:I25,"Da fare")+COUNTIFS('Post-GO'!D5:D53,"PK-29",'Post-GO'!I5:I53,"Da fare")</f>
        <v/>
      </c>
      <c r="F51" s="5">
        <f>IF(B51=0,0,C51/B51)</f>
        <v/>
      </c>
    </row>
    <row r="52">
      <c r="A52" t="inlineStr">
        <is>
          <t>PK-30 · Rollout sul pilota</t>
        </is>
      </c>
      <c r="B52">
        <f>COUNTIF('Pre-GO'!D5:D25,"PK-30")+COUNTIF('Post-GO'!D5:D53,"PK-30")</f>
        <v/>
      </c>
      <c r="C52">
        <f>COUNTIFS('Pre-GO'!D5:D25,"PK-30",'Pre-GO'!I5:I25,"Fatto")+COUNTIFS('Post-GO'!D5:D53,"PK-30",'Post-GO'!I5:I53,"Fatto")</f>
        <v/>
      </c>
      <c r="D52">
        <f>COUNTIFS('Pre-GO'!D5:D25,"PK-30",'Pre-GO'!I5:I25,"In corso")+COUNTIFS('Post-GO'!D5:D53,"PK-30",'Post-GO'!I5:I53,"In corso")</f>
        <v/>
      </c>
      <c r="E52">
        <f>COUNTIFS('Pre-GO'!D5:D25,"PK-30",'Pre-GO'!I5:I25,"Da fare")+COUNTIFS('Post-GO'!D5:D53,"PK-30",'Post-GO'!I5:I53,"Da fare")</f>
        <v/>
      </c>
      <c r="F52" s="5">
        <f>IF(B52=0,0,C52/B52)</f>
        <v/>
      </c>
    </row>
    <row r="54">
      <c r="A54" s="6" t="inlineStr">
        <is>
          <t>Avanzamento per fase</t>
        </is>
      </c>
    </row>
    <row r="55">
      <c r="A55" s="2" t="inlineStr">
        <is>
          <t>Fase</t>
        </is>
      </c>
      <c r="B55" s="2" t="inlineStr">
        <is>
          <t>Task</t>
        </is>
      </c>
      <c r="C55" s="2" t="inlineStr">
        <is>
          <t>Fatti</t>
        </is>
      </c>
      <c r="D55" s="2" t="inlineStr">
        <is>
          <t>In corso</t>
        </is>
      </c>
      <c r="E55" s="2" t="inlineStr">
        <is>
          <t>Da fare</t>
        </is>
      </c>
      <c r="F55" s="2" t="inlineStr">
        <is>
          <t>%</t>
        </is>
      </c>
    </row>
    <row r="56">
      <c r="A56" s="7" t="n">
        <v>1</v>
      </c>
      <c r="B56">
        <f>COUNTIFS('Pre-GO'!A5:A25,$A56)+COUNTIFS('Post-GO'!A5:A53,$A56)</f>
        <v/>
      </c>
      <c r="C56">
        <f>COUNTIFS('Pre-GO'!A5:A25,$A56,'Pre-GO'!I5:I25,"Fatto")+COUNTIFS('Post-GO'!A5:A53,$A56,'Post-GO'!I5:I53,"Fatto")</f>
        <v/>
      </c>
      <c r="D56">
        <f>COUNTIFS('Pre-GO'!A5:A25,$A56,'Pre-GO'!I5:I25,"In corso")+COUNTIFS('Post-GO'!A5:A53,$A56,'Post-GO'!I5:I53,"In corso")</f>
        <v/>
      </c>
      <c r="E56">
        <f>COUNTIFS('Pre-GO'!A5:A25,$A56,'Pre-GO'!I5:I25,"Da fare")+COUNTIFS('Post-GO'!A5:A53,$A56,'Post-GO'!I5:I53,"Da fare")</f>
        <v/>
      </c>
      <c r="F56" s="5">
        <f>IF(B56=0,0,C56/B56)</f>
        <v/>
      </c>
    </row>
    <row r="57">
      <c r="A57" s="7" t="n">
        <v>2</v>
      </c>
      <c r="B57">
        <f>COUNTIFS('Pre-GO'!A5:A25,$A57)+COUNTIFS('Post-GO'!A5:A53,$A57)</f>
        <v/>
      </c>
      <c r="C57">
        <f>COUNTIFS('Pre-GO'!A5:A25,$A57,'Pre-GO'!I5:I25,"Fatto")+COUNTIFS('Post-GO'!A5:A53,$A57,'Post-GO'!I5:I53,"Fatto")</f>
        <v/>
      </c>
      <c r="D57">
        <f>COUNTIFS('Pre-GO'!A5:A25,$A57,'Pre-GO'!I5:I25,"In corso")+COUNTIFS('Post-GO'!A5:A53,$A57,'Post-GO'!I5:I53,"In corso")</f>
        <v/>
      </c>
      <c r="E57">
        <f>COUNTIFS('Pre-GO'!A5:A25,$A57,'Pre-GO'!I5:I25,"Da fare")+COUNTIFS('Post-GO'!A5:A53,$A57,'Post-GO'!I5:I53,"Da fare")</f>
        <v/>
      </c>
      <c r="F57" s="5">
        <f>IF(B57=0,0,C57/B57)</f>
        <v/>
      </c>
    </row>
    <row r="58">
      <c r="A58" s="7" t="n">
        <v>3</v>
      </c>
      <c r="B58">
        <f>COUNTIFS('Pre-GO'!A5:A25,$A58)+COUNTIFS('Post-GO'!A5:A53,$A58)</f>
        <v/>
      </c>
      <c r="C58">
        <f>COUNTIFS('Pre-GO'!A5:A25,$A58,'Pre-GO'!I5:I25,"Fatto")+COUNTIFS('Post-GO'!A5:A53,$A58,'Post-GO'!I5:I53,"Fatto")</f>
        <v/>
      </c>
      <c r="D58">
        <f>COUNTIFS('Pre-GO'!A5:A25,$A58,'Pre-GO'!I5:I25,"In corso")+COUNTIFS('Post-GO'!A5:A53,$A58,'Post-GO'!I5:I53,"In corso")</f>
        <v/>
      </c>
      <c r="E58">
        <f>COUNTIFS('Pre-GO'!A5:A25,$A58,'Pre-GO'!I5:I25,"Da fare")+COUNTIFS('Post-GO'!A5:A53,$A58,'Post-GO'!I5:I53,"Da fare")</f>
        <v/>
      </c>
      <c r="F58" s="5">
        <f>IF(B58=0,0,C58/B58)</f>
        <v/>
      </c>
    </row>
    <row r="59">
      <c r="A59" s="7" t="n">
        <v>4</v>
      </c>
      <c r="B59">
        <f>COUNTIFS('Pre-GO'!A5:A25,$A59)+COUNTIFS('Post-GO'!A5:A53,$A59)</f>
        <v/>
      </c>
      <c r="C59">
        <f>COUNTIFS('Pre-GO'!A5:A25,$A59,'Pre-GO'!I5:I25,"Fatto")+COUNTIFS('Post-GO'!A5:A53,$A59,'Post-GO'!I5:I53,"Fatto")</f>
        <v/>
      </c>
      <c r="D59">
        <f>COUNTIFS('Pre-GO'!A5:A25,$A59,'Pre-GO'!I5:I25,"In corso")+COUNTIFS('Post-GO'!A5:A53,$A59,'Post-GO'!I5:I53,"In corso")</f>
        <v/>
      </c>
      <c r="E59">
        <f>COUNTIFS('Pre-GO'!A5:A25,$A59,'Pre-GO'!I5:I25,"Da fare")+COUNTIFS('Post-GO'!A5:A53,$A59,'Post-GO'!I5:I53,"Da fare")</f>
        <v/>
      </c>
      <c r="F59" s="5">
        <f>IF(B59=0,0,C59/B59)</f>
        <v/>
      </c>
    </row>
    <row r="60">
      <c r="A60" s="7" t="n">
        <v>5</v>
      </c>
      <c r="B60">
        <f>COUNTIFS('Pre-GO'!A5:A25,$A60)+COUNTIFS('Post-GO'!A5:A53,$A60)</f>
        <v/>
      </c>
      <c r="C60">
        <f>COUNTIFS('Pre-GO'!A5:A25,$A60,'Pre-GO'!I5:I25,"Fatto")+COUNTIFS('Post-GO'!A5:A53,$A60,'Post-GO'!I5:I53,"Fatto")</f>
        <v/>
      </c>
      <c r="D60">
        <f>COUNTIFS('Pre-GO'!A5:A25,$A60,'Pre-GO'!I5:I25,"In corso")+COUNTIFS('Post-GO'!A5:A53,$A60,'Post-GO'!I5:I53,"In corso")</f>
        <v/>
      </c>
      <c r="E60">
        <f>COUNTIFS('Pre-GO'!A5:A25,$A60,'Pre-GO'!I5:I25,"Da fare")+COUNTIFS('Post-GO'!A5:A53,$A60,'Post-GO'!I5:I53,"Da fare")</f>
        <v/>
      </c>
      <c r="F60" s="5">
        <f>IF(B60=0,0,C60/B60)</f>
        <v/>
      </c>
    </row>
    <row r="61">
      <c r="A61" s="7" t="n">
        <v>6</v>
      </c>
      <c r="B61">
        <f>COUNTIFS('Pre-GO'!A5:A25,$A61)+COUNTIFS('Post-GO'!A5:A53,$A61)</f>
        <v/>
      </c>
      <c r="C61">
        <f>COUNTIFS('Pre-GO'!A5:A25,$A61,'Pre-GO'!I5:I25,"Fatto")+COUNTIFS('Post-GO'!A5:A53,$A61,'Post-GO'!I5:I53,"Fatto")</f>
        <v/>
      </c>
      <c r="D61">
        <f>COUNTIFS('Pre-GO'!A5:A25,$A61,'Pre-GO'!I5:I25,"In corso")+COUNTIFS('Post-GO'!A5:A53,$A61,'Post-GO'!I5:I53,"In corso")</f>
        <v/>
      </c>
      <c r="E61">
        <f>COUNTIFS('Pre-GO'!A5:A25,$A61,'Pre-GO'!I5:I25,"Da fare")+COUNTIFS('Post-GO'!A5:A53,$A61,'Post-GO'!I5:I53,"Da fare")</f>
        <v/>
      </c>
      <c r="F61" s="5">
        <f>IF(B61=0,0,C61/B61)</f>
        <v/>
      </c>
    </row>
    <row r="62">
      <c r="A62" s="7" t="n">
        <v>7</v>
      </c>
      <c r="B62">
        <f>COUNTIFS('Pre-GO'!A5:A25,$A62)+COUNTIFS('Post-GO'!A5:A53,$A62)</f>
        <v/>
      </c>
      <c r="C62">
        <f>COUNTIFS('Pre-GO'!A5:A25,$A62,'Pre-GO'!I5:I25,"Fatto")+COUNTIFS('Post-GO'!A5:A53,$A62,'Post-GO'!I5:I53,"Fatto")</f>
        <v/>
      </c>
      <c r="D62">
        <f>COUNTIFS('Pre-GO'!A5:A25,$A62,'Pre-GO'!I5:I25,"In corso")+COUNTIFS('Post-GO'!A5:A53,$A62,'Post-GO'!I5:I53,"In corso")</f>
        <v/>
      </c>
      <c r="E62">
        <f>COUNTIFS('Pre-GO'!A5:A25,$A62,'Pre-GO'!I5:I25,"Da fare")+COUNTIFS('Post-GO'!A5:A53,$A62,'Post-GO'!I5:I53,"Da fare")</f>
        <v/>
      </c>
      <c r="F62" s="5">
        <f>IF(B62=0,0,C62/B62)</f>
        <v/>
      </c>
    </row>
    <row r="63">
      <c r="A63" s="7" t="n">
        <v>8</v>
      </c>
      <c r="B63">
        <f>COUNTIFS('Pre-GO'!A5:A25,$A63)+COUNTIFS('Post-GO'!A5:A53,$A63)</f>
        <v/>
      </c>
      <c r="C63">
        <f>COUNTIFS('Pre-GO'!A5:A25,$A63,'Pre-GO'!I5:I25,"Fatto")+COUNTIFS('Post-GO'!A5:A53,$A63,'Post-GO'!I5:I53,"Fatto")</f>
        <v/>
      </c>
      <c r="D63">
        <f>COUNTIFS('Pre-GO'!A5:A25,$A63,'Pre-GO'!I5:I25,"In corso")+COUNTIFS('Post-GO'!A5:A53,$A63,'Post-GO'!I5:I53,"In corso")</f>
        <v/>
      </c>
      <c r="E63">
        <f>COUNTIFS('Pre-GO'!A5:A25,$A63,'Pre-GO'!I5:I25,"Da fare")+COUNTIFS('Post-GO'!A5:A53,$A63,'Post-GO'!I5:I53,"Da fare")</f>
        <v/>
      </c>
      <c r="F63" s="5">
        <f>IF(B63=0,0,C63/B63)</f>
        <v/>
      </c>
    </row>
    <row r="64">
      <c r="A64" s="7" t="inlineStr">
        <is>
          <t>8b</t>
        </is>
      </c>
      <c r="B64">
        <f>COUNTIFS('Pre-GO'!A5:A25,$A64)+COUNTIFS('Post-GO'!A5:A53,$A64)</f>
        <v/>
      </c>
      <c r="C64">
        <f>COUNTIFS('Pre-GO'!A5:A25,$A64,'Pre-GO'!I5:I25,"Fatto")+COUNTIFS('Post-GO'!A5:A53,$A64,'Post-GO'!I5:I53,"Fatto")</f>
        <v/>
      </c>
      <c r="D64">
        <f>COUNTIFS('Pre-GO'!A5:A25,$A64,'Pre-GO'!I5:I25,"In corso")+COUNTIFS('Post-GO'!A5:A53,$A64,'Post-GO'!I5:I53,"In corso")</f>
        <v/>
      </c>
      <c r="E64">
        <f>COUNTIFS('Pre-GO'!A5:A25,$A64,'Pre-GO'!I5:I25,"Da fare")+COUNTIFS('Post-GO'!A5:A53,$A64,'Post-GO'!I5:I53,"Da fare")</f>
        <v/>
      </c>
      <c r="F64" s="5">
        <f>IF(B64=0,0,C64/B64)</f>
        <v/>
      </c>
    </row>
    <row r="65">
      <c r="A65" s="7" t="n">
        <v>9</v>
      </c>
      <c r="B65">
        <f>COUNTIFS('Pre-GO'!A5:A25,$A65)+COUNTIFS('Post-GO'!A5:A53,$A65)</f>
        <v/>
      </c>
      <c r="C65">
        <f>COUNTIFS('Pre-GO'!A5:A25,$A65,'Pre-GO'!I5:I25,"Fatto")+COUNTIFS('Post-GO'!A5:A53,$A65,'Post-GO'!I5:I53,"Fatto")</f>
        <v/>
      </c>
      <c r="D65">
        <f>COUNTIFS('Pre-GO'!A5:A25,$A65,'Pre-GO'!I5:I25,"In corso")+COUNTIFS('Post-GO'!A5:A53,$A65,'Post-GO'!I5:I53,"In corso")</f>
        <v/>
      </c>
      <c r="E65">
        <f>COUNTIFS('Pre-GO'!A5:A25,$A65,'Pre-GO'!I5:I25,"Da fare")+COUNTIFS('Post-GO'!A5:A53,$A65,'Post-GO'!I5:I53,"Da fare")</f>
        <v/>
      </c>
      <c r="F65" s="5">
        <f>IF(B65=0,0,C65/B65)</f>
        <v/>
      </c>
    </row>
    <row r="66">
      <c r="A66" s="7" t="n">
        <v>10</v>
      </c>
      <c r="B66">
        <f>COUNTIFS('Pre-GO'!A5:A25,$A66)+COUNTIFS('Post-GO'!A5:A53,$A66)</f>
        <v/>
      </c>
      <c r="C66">
        <f>COUNTIFS('Pre-GO'!A5:A25,$A66,'Pre-GO'!I5:I25,"Fatto")+COUNTIFS('Post-GO'!A5:A53,$A66,'Post-GO'!I5:I53,"Fatto")</f>
        <v/>
      </c>
      <c r="D66">
        <f>COUNTIFS('Pre-GO'!A5:A25,$A66,'Pre-GO'!I5:I25,"In corso")+COUNTIFS('Post-GO'!A5:A53,$A66,'Post-GO'!I5:I53,"In corso")</f>
        <v/>
      </c>
      <c r="E66">
        <f>COUNTIFS('Pre-GO'!A5:A25,$A66,'Pre-GO'!I5:I25,"Da fare")+COUNTIFS('Post-GO'!A5:A53,$A66,'Post-GO'!I5:I53,"Da fare")</f>
        <v/>
      </c>
      <c r="F66" s="5">
        <f>IF(B66=0,0,C66/B66)</f>
        <v/>
      </c>
    </row>
    <row r="67">
      <c r="A67" s="7" t="n">
        <v>11</v>
      </c>
      <c r="B67">
        <f>COUNTIFS('Pre-GO'!A5:A25,$A67)+COUNTIFS('Post-GO'!A5:A53,$A67)</f>
        <v/>
      </c>
      <c r="C67">
        <f>COUNTIFS('Pre-GO'!A5:A25,$A67,'Pre-GO'!I5:I25,"Fatto")+COUNTIFS('Post-GO'!A5:A53,$A67,'Post-GO'!I5:I53,"Fatto")</f>
        <v/>
      </c>
      <c r="D67">
        <f>COUNTIFS('Pre-GO'!A5:A25,$A67,'Pre-GO'!I5:I25,"In corso")+COUNTIFS('Post-GO'!A5:A53,$A67,'Post-GO'!I5:I53,"In corso")</f>
        <v/>
      </c>
      <c r="E67">
        <f>COUNTIFS('Pre-GO'!A5:A25,$A67,'Pre-GO'!I5:I25,"Da fare")+COUNTIFS('Post-GO'!A5:A53,$A67,'Post-GO'!I5:I53,"Da fare")</f>
        <v/>
      </c>
      <c r="F67" s="5">
        <f>IF(B67=0,0,C67/B67)</f>
        <v/>
      </c>
    </row>
    <row r="68">
      <c r="A68" s="7" t="n">
        <v>12</v>
      </c>
      <c r="B68">
        <f>COUNTIFS('Pre-GO'!A5:A25,$A68)+COUNTIFS('Post-GO'!A5:A53,$A68)</f>
        <v/>
      </c>
      <c r="C68">
        <f>COUNTIFS('Pre-GO'!A5:A25,$A68,'Pre-GO'!I5:I25,"Fatto")+COUNTIFS('Post-GO'!A5:A53,$A68,'Post-GO'!I5:I53,"Fatto")</f>
        <v/>
      </c>
      <c r="D68">
        <f>COUNTIFS('Pre-GO'!A5:A25,$A68,'Pre-GO'!I5:I25,"In corso")+COUNTIFS('Post-GO'!A5:A53,$A68,'Post-GO'!I5:I53,"In corso")</f>
        <v/>
      </c>
      <c r="E68">
        <f>COUNTIFS('Pre-GO'!A5:A25,$A68,'Pre-GO'!I5:I25,"Da fare")+COUNTIFS('Post-GO'!A5:A53,$A68,'Post-GO'!I5:I53,"Da fare")</f>
        <v/>
      </c>
      <c r="F68" s="5">
        <f>IF(B68=0,0,C68/B68)</f>
        <v/>
      </c>
    </row>
  </sheetData>
  <mergeCells count="1">
    <mergeCell ref="A1:H1"/>
  </mergeCells>
  <conditionalFormatting sqref="B10:D10">
    <cfRule type="dataBar" priority="1">
      <dataBar>
        <cfvo type="num" val="0"/>
        <cfvo type="num" val="1"/>
        <color rgb="0063BE7B"/>
      </dataBar>
    </cfRule>
  </conditionalFormatting>
  <conditionalFormatting sqref="F21:F52">
    <cfRule type="dataBar" priority="2">
      <dataBar>
        <cfvo type="num" val="0"/>
        <cfvo type="num" val="1"/>
        <color rgb="0063BE7B"/>
      </dataBar>
    </cfRule>
  </conditionalFormatting>
  <conditionalFormatting sqref="F56:F68">
    <cfRule type="dataBar" priority="3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V2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46" customWidth="1" min="5" max="5"/>
    <col width="40" customWidth="1" min="6" max="6"/>
    <col width="52" customWidth="1" min="7" max="7"/>
    <col width="30" customWidth="1" min="8" max="8"/>
    <col width="12" customWidth="1" min="9" max="9"/>
    <col width="11" customWidth="1" min="10" max="10"/>
    <col width="15" customWidth="1" min="11" max="11"/>
    <col width="12" customWidth="1" min="12" max="12"/>
    <col width="26" customWidth="1" min="13" max="13"/>
    <col width="10" customWidth="1" min="14" max="14"/>
    <col width="26" customWidth="1" min="15" max="15"/>
    <col width="12" customWidth="1" min="16" max="16"/>
    <col width="12" customWidth="1" min="17" max="17"/>
    <col width="48" customWidth="1" min="18" max="18"/>
    <col width="14" customWidth="1" min="19" max="19"/>
    <col width="22" customWidth="1" min="20" max="20"/>
    <col width="36" customWidth="1" min="21" max="21"/>
    <col width="48" customWidth="1" min="22" max="22"/>
  </cols>
  <sheetData>
    <row r="1" ht="30" customHeight="1">
      <c r="A1" s="8" t="inlineStr">
        <is>
          <t>HELIOS — Distribuzione task · Pre-GO (Fasi 1–4, fino al gate go/no-go)</t>
        </is>
      </c>
    </row>
    <row r="2">
      <c r="A2" s="3" t="inlineStr">
        <is>
          <t>Avanzamento:</t>
        </is>
      </c>
      <c r="B2" s="4">
        <f>COUNTIF(I5:I25,"Fatto")/COUNTA(C5:C25)</f>
        <v/>
      </c>
      <c r="C2">
        <f>COUNTIF(I5:I25,"Fatto")&amp;" fatti / "&amp;COUNTA(C5:C25)&amp;" task · "&amp;COUNTIF(I5:I25,"In corso")&amp;" in corso · "&amp;COUNTIF(I5:I25,"Bloccato")&amp;" bloccati"</f>
        <v/>
      </c>
    </row>
    <row r="4" ht="30" customHeight="1">
      <c r="A4" s="2" t="inlineStr">
        <is>
          <t>Fase</t>
        </is>
      </c>
      <c r="B4" s="2" t="inlineStr">
        <is>
          <t>Ordine</t>
        </is>
      </c>
      <c r="C4" s="2" t="inlineStr">
        <is>
          <t>ID</t>
        </is>
      </c>
      <c r="D4" s="2" t="inlineStr">
        <is>
          <t>Pacchetto</t>
        </is>
      </c>
      <c r="E4" s="2" t="inlineStr">
        <is>
          <t>Titolo</t>
        </is>
      </c>
      <c r="F4" s="2" t="inlineStr">
        <is>
          <t>Fonte (IN / R05)</t>
        </is>
      </c>
      <c r="G4" s="2" t="inlineStr">
        <is>
          <t>Descrizione / contesto</t>
        </is>
      </c>
      <c r="H4" s="2" t="inlineStr">
        <is>
          <t>Dipende da</t>
        </is>
      </c>
      <c r="I4" s="2" t="inlineStr">
        <is>
          <t>Stato</t>
        </is>
      </c>
      <c r="J4" s="2" t="inlineStr">
        <is>
          <t>Già fatto?</t>
        </is>
      </c>
      <c r="K4" s="2" t="inlineStr">
        <is>
          <t>Assegnato a</t>
        </is>
      </c>
      <c r="L4" s="2" t="inlineStr">
        <is>
          <t>Complessità</t>
        </is>
      </c>
      <c r="M4" s="2" t="inlineStr">
        <is>
          <t>Branch di riferimento</t>
        </is>
      </c>
      <c r="N4" s="2" t="inlineStr">
        <is>
          <t>Pushato?</t>
        </is>
      </c>
      <c r="O4" s="2" t="inlineStr">
        <is>
          <t>Commit (hash)</t>
        </is>
      </c>
      <c r="P4" s="2" t="inlineStr">
        <is>
          <t>Inizio</t>
        </is>
      </c>
      <c r="Q4" s="2" t="inlineStr">
        <is>
          <t>Fine</t>
        </is>
      </c>
      <c r="R4" s="2" t="inlineStr">
        <is>
          <t>Note</t>
        </is>
      </c>
      <c r="S4" s="2" t="inlineStr">
        <is>
          <t>% avanzamento</t>
        </is>
      </c>
      <c r="T4" s="2" t="inlineStr">
        <is>
          <t>Test T-xxx</t>
        </is>
      </c>
      <c r="U4" s="2" t="inlineStr">
        <is>
          <t>Prerequisiti ancora aperti</t>
        </is>
      </c>
      <c r="V4" s="2" t="inlineStr">
        <is>
          <t>Percorsi toccati</t>
        </is>
      </c>
    </row>
    <row r="5" ht="58" customHeight="1">
      <c r="A5" s="9" t="n">
        <v>1</v>
      </c>
      <c r="B5" s="9" t="n">
        <v>1</v>
      </c>
      <c r="C5" s="10" t="inlineStr">
        <is>
          <t>H-101</t>
        </is>
      </c>
      <c r="D5" s="11" t="inlineStr">
        <is>
          <t>PK-00</t>
        </is>
      </c>
      <c r="E5" s="10" t="inlineStr">
        <is>
          <t>ADR fondativo</t>
        </is>
      </c>
      <c r="F5" s="10" t="inlineStr">
        <is>
          <t>`docs/adr/0001-helios.md`</t>
        </is>
      </c>
      <c r="G5" s="10" t="inlineStr">
        <is>
          <t>Mettere per iscritto owner, perimetro ECC, pin `25278e7`, revoca</t>
        </is>
      </c>
      <c r="H5" s="10" t="inlineStr">
        <is>
          <t>—</t>
        </is>
      </c>
      <c r="I5" s="9" t="inlineStr">
        <is>
          <t>Fatto</t>
        </is>
      </c>
      <c r="J5" s="9">
        <f>IF(I5="Fatto","✔ Sì","✘ No")</f>
        <v/>
      </c>
      <c r="K5" s="9" t="inlineStr">
        <is>
          <t>SUPERVISORE</t>
        </is>
      </c>
      <c r="L5" s="9" t="inlineStr"/>
      <c r="M5" s="10" t="inlineStr"/>
      <c r="N5" s="9" t="inlineStr">
        <is>
          <t>—</t>
        </is>
      </c>
      <c r="O5" s="10" t="inlineStr">
        <is>
          <t>—</t>
        </is>
      </c>
      <c r="P5" s="10" t="n"/>
      <c r="Q5" s="10" t="n"/>
      <c r="R5" s="10" t="inlineStr">
        <is>
          <t>**done 2026-10-29 20:07**, approvato dal SUPERVISORE. `docs/` non ancora indicizzata in CEREBRO: aggiunta a cura del SUPERVISORE (scelta 1). C28: nessun rischio rilevato; controlli: coerenza con C01/C04/C06/C07/C08/C09/C11/C14/C28, Q3/Q7, nessun file di input toccato.</t>
        </is>
      </c>
      <c r="S5" s="12" t="n">
        <v>1</v>
      </c>
      <c r="T5" s="10" t="inlineStr">
        <is>
          <t>—</t>
        </is>
      </c>
      <c r="U5" s="10" t="inlineStr">
        <is>
          <t>—</t>
        </is>
      </c>
      <c r="V5" s="10" t="inlineStr">
        <is>
          <t>docs/adr/0001-helios.md</t>
        </is>
      </c>
    </row>
    <row r="6" ht="58" customHeight="1">
      <c r="A6" s="9" t="n">
        <v>1</v>
      </c>
      <c r="B6" s="9" t="n">
        <v>2</v>
      </c>
      <c r="C6" s="10" t="inlineStr">
        <is>
          <t>H-102</t>
        </is>
      </c>
      <c r="D6" s="11" t="inlineStr">
        <is>
          <t>PK-00</t>
        </is>
      </c>
      <c r="E6" s="10" t="inlineStr">
        <is>
          <t>Costituzione HELIOS</t>
        </is>
      </c>
      <c r="F6" s="10" t="inlineStr">
        <is>
          <t>`docs/CONSTITUTION.md`</t>
        </is>
      </c>
      <c r="G6" s="10" t="inlineStr">
        <is>
          <t>Raccogliere i non-negoziabili §2.3 compresa la valutazione rischi a fine task (C28)</t>
        </is>
      </c>
      <c r="H6" s="10" t="inlineStr">
        <is>
          <t>H-101 [P]</t>
        </is>
      </c>
      <c r="I6" s="9" t="inlineStr">
        <is>
          <t>Fatto</t>
        </is>
      </c>
      <c r="J6" s="9">
        <f>IF(I6="Fatto","✔ Sì","✘ No")</f>
        <v/>
      </c>
      <c r="K6" s="9" t="inlineStr">
        <is>
          <t>SUPERVISORE</t>
        </is>
      </c>
      <c r="L6" s="9" t="inlineStr"/>
      <c r="M6" s="10" t="inlineStr"/>
      <c r="N6" s="9" t="inlineStr">
        <is>
          <t>—</t>
        </is>
      </c>
      <c r="O6" s="10" t="inlineStr">
        <is>
          <t>—</t>
        </is>
      </c>
      <c r="P6" s="10" t="n"/>
      <c r="Q6" s="10" t="n"/>
      <c r="R6" s="10" t="inlineStr">
        <is>
          <t>**done 2026-10-29 20:18**, approvata dal SUPERVISORE. «Richiamata da ogni ruolo»: rinviata alla creazione dei ruoli (H-401/H-402…), non ancora verificabile. C28: nessun rischio rilevato; controlli: 7 regole = IN §2.3 n.1–7, nessun requisito nuovo, nessun file di input toccato. `docs/` non ancora indicizzata (a cura del SUPERVISORE).</t>
        </is>
      </c>
      <c r="S6" s="12" t="n">
        <v>1</v>
      </c>
      <c r="T6" s="10" t="inlineStr">
        <is>
          <t>—</t>
        </is>
      </c>
      <c r="U6" s="10" t="inlineStr">
        <is>
          <t>—</t>
        </is>
      </c>
      <c r="V6" s="10" t="inlineStr">
        <is>
          <t>docs/CONSTITUTION.md</t>
        </is>
      </c>
    </row>
    <row r="7" ht="58" customHeight="1">
      <c r="A7" s="9" t="n">
        <v>1</v>
      </c>
      <c r="B7" s="9" t="n">
        <v>3</v>
      </c>
      <c r="C7" s="10" t="inlineStr">
        <is>
          <t>H-103</t>
        </is>
      </c>
      <c r="D7" s="11" t="inlineStr">
        <is>
          <t>PK-00</t>
        </is>
      </c>
      <c r="E7" s="10" t="inlineStr">
        <is>
          <t>Conferma runtime e struttura test</t>
        </is>
      </c>
      <c r="F7" s="10" t="inlineStr">
        <is>
          <t>`docs/adr/0002-runtime.md` (IN §5 Fase 1, §8 Q4/Q8). Q-11 chiusa per i comandi</t>
        </is>
      </c>
      <c r="G7" s="10" t="inlineStr">
        <is>
          <t>Formalizzare Python ≥ 3.11 (Q4) e JS solo scheduler/workflow (Q8); confermare nomi/framework dei test</t>
        </is>
      </c>
      <c r="H7" s="10" t="inlineStr">
        <is>
          <t>H-101 [P]</t>
        </is>
      </c>
      <c r="I7" s="9" t="inlineStr">
        <is>
          <t>Fatto</t>
        </is>
      </c>
      <c r="J7" s="9">
        <f>IF(I7="Fatto","✔ Sì","✘ No")</f>
        <v/>
      </c>
      <c r="K7" s="9" t="inlineStr">
        <is>
          <t>SUPERVISORE</t>
        </is>
      </c>
      <c r="L7" s="9" t="inlineStr"/>
      <c r="M7" s="10" t="inlineStr"/>
      <c r="N7" s="9" t="inlineStr">
        <is>
          <t>—</t>
        </is>
      </c>
      <c r="O7" s="10" t="inlineStr">
        <is>
          <t>—</t>
        </is>
      </c>
      <c r="P7" s="10" t="n"/>
      <c r="Q7" s="10" t="n"/>
      <c r="R7" s="10" t="inlineStr">
        <is>
          <t>**done 2026-10-29 20:24**, approvato dal SUPERVISORE. Restano [N] non bloccanti: framework test UI, gestore pacchetti Python. C28: nessun rischio rilevato; controlli: coerenza con IN §3.1/§8 Q4-Q8 e C13, nessun requisito nuovo, nessun file di input toccato.</t>
        </is>
      </c>
      <c r="S7" s="12" t="n">
        <v>1</v>
      </c>
      <c r="T7" s="10" t="inlineStr">
        <is>
          <t>—</t>
        </is>
      </c>
      <c r="U7" s="10" t="inlineStr">
        <is>
          <t>—</t>
        </is>
      </c>
      <c r="V7" s="10" t="inlineStr">
        <is>
          <t>docs/adr/0002-runtime.md</t>
        </is>
      </c>
    </row>
    <row r="8" ht="58" customHeight="1">
      <c r="A8" s="9" t="n">
        <v>3</v>
      </c>
      <c r="B8" s="9" t="n">
        <v>4</v>
      </c>
      <c r="C8" s="10" t="inlineStr">
        <is>
          <t>H-303</t>
        </is>
      </c>
      <c r="D8" s="11" t="inlineStr">
        <is>
          <t>PK-01</t>
        </is>
      </c>
      <c r="E8" s="10" t="inlineStr">
        <is>
          <t>Contratti §3.3 come schemi JSON</t>
        </is>
      </c>
      <c r="F8" s="10" t="inlineStr">
        <is>
          <t>`agents/contracts/*.schema.json`</t>
        </is>
      </c>
      <c r="G8" s="10" t="inlineStr">
        <is>
          <t>Definire il linguaggio comune tra ruoli e runner</t>
        </is>
      </c>
      <c r="H8" s="10" t="inlineStr">
        <is>
          <t>H-103</t>
        </is>
      </c>
      <c r="I8" s="9" t="inlineStr">
        <is>
          <t>Da fare</t>
        </is>
      </c>
      <c r="J8" s="9">
        <f>IF(I8="Fatto","✔ Sì","✘ No")</f>
        <v/>
      </c>
      <c r="K8" s="9" t="inlineStr">
        <is>
          <t>SCIBETTA</t>
        </is>
      </c>
      <c r="L8" s="9" t="inlineStr"/>
      <c r="M8" s="10" t="inlineStr"/>
      <c r="N8" s="9" t="inlineStr">
        <is>
          <t>—</t>
        </is>
      </c>
      <c r="O8" s="10" t="inlineStr">
        <is>
          <t>—</t>
        </is>
      </c>
      <c r="P8" s="10" t="n"/>
      <c r="Q8" s="10" t="n"/>
      <c r="R8" s="10" t="inlineStr"/>
      <c r="S8" s="12" t="n">
        <v>0</v>
      </c>
      <c r="T8" s="10" t="inlineStr">
        <is>
          <t>T-303</t>
        </is>
      </c>
      <c r="U8" s="10" t="inlineStr">
        <is>
          <t>—</t>
        </is>
      </c>
      <c r="V8" s="10" t="inlineStr">
        <is>
          <t>agents/contracts/*.schema.json</t>
        </is>
      </c>
    </row>
    <row r="9" ht="58" customHeight="1">
      <c r="A9" s="9" t="n">
        <v>2</v>
      </c>
      <c r="B9" s="9" t="n">
        <v>5</v>
      </c>
      <c r="C9" s="10" t="inlineStr">
        <is>
          <t>H-201</t>
        </is>
      </c>
      <c r="D9" s="11" t="inlineStr">
        <is>
          <t>PK-02</t>
        </is>
      </c>
      <c r="E9" s="10" t="inlineStr">
        <is>
          <t>Script di inventario ECC</t>
        </is>
      </c>
      <c r="F9" s="10" t="inlineStr">
        <is>
          <t>**Fase 2.** `agents/tools/inventory_ecc.py`</t>
        </is>
      </c>
      <c r="G9" s="10" t="inlineStr">
        <is>
          <t>Leggere il 100% dei file ECC e contarli</t>
        </is>
      </c>
      <c r="H9" s="10" t="inlineStr">
        <is>
          <t>H-101 [P]</t>
        </is>
      </c>
      <c r="I9" s="9" t="inlineStr">
        <is>
          <t>Da fare</t>
        </is>
      </c>
      <c r="J9" s="9">
        <f>IF(I9="Fatto","✔ Sì","✘ No")</f>
        <v/>
      </c>
      <c r="K9" s="9" t="inlineStr">
        <is>
          <t>NARO</t>
        </is>
      </c>
      <c r="L9" s="9" t="inlineStr"/>
      <c r="M9" s="10" t="inlineStr"/>
      <c r="N9" s="9" t="inlineStr">
        <is>
          <t>—</t>
        </is>
      </c>
      <c r="O9" s="10" t="inlineStr">
        <is>
          <t>—</t>
        </is>
      </c>
      <c r="P9" s="10" t="n"/>
      <c r="Q9" s="10" t="n"/>
      <c r="R9" s="10" t="inlineStr"/>
      <c r="S9" s="12" t="n">
        <v>0</v>
      </c>
      <c r="T9" s="10" t="inlineStr">
        <is>
          <t>T-201</t>
        </is>
      </c>
      <c r="U9" s="10" t="inlineStr">
        <is>
          <t>—</t>
        </is>
      </c>
      <c r="V9" s="10" t="inlineStr">
        <is>
          <t>agents/tools/inventory_ecc.py, REGISTRO_SKILLS_AGENTI_ECC.md</t>
        </is>
      </c>
    </row>
    <row r="10" ht="58" customHeight="1">
      <c r="A10" s="9" t="n">
        <v>2</v>
      </c>
      <c r="B10" s="9" t="n">
        <v>6</v>
      </c>
      <c r="C10" s="10" t="inlineStr">
        <is>
          <t>H-202</t>
        </is>
      </c>
      <c r="D10" s="11" t="inlineStr">
        <is>
          <t>PK-02</t>
        </is>
      </c>
      <c r="E10" s="10" t="inlineStr">
        <is>
          <t>Ledger licenze + allowlist MIT</t>
        </is>
      </c>
      <c r="F10" s="10" t="inlineStr">
        <is>
          <t>**Fase 2.** `agents/assets/ecc-ledger.json`, `NOTICE`</t>
        </is>
      </c>
      <c r="G10" s="10" t="inlineStr">
        <is>
          <t>Ogni asset con hash/licenza/origine; non-MIT esclusi</t>
        </is>
      </c>
      <c r="H10" s="10" t="inlineStr">
        <is>
          <t>H-201 [P]</t>
        </is>
      </c>
      <c r="I10" s="9" t="inlineStr">
        <is>
          <t>Da fare</t>
        </is>
      </c>
      <c r="J10" s="9">
        <f>IF(I10="Fatto","✔ Sì","✘ No")</f>
        <v/>
      </c>
      <c r="K10" s="9" t="inlineStr">
        <is>
          <t>NARO</t>
        </is>
      </c>
      <c r="L10" s="9" t="inlineStr"/>
      <c r="M10" s="10" t="inlineStr"/>
      <c r="N10" s="9" t="inlineStr">
        <is>
          <t>—</t>
        </is>
      </c>
      <c r="O10" s="10" t="inlineStr">
        <is>
          <t>—</t>
        </is>
      </c>
      <c r="P10" s="10" t="n"/>
      <c r="Q10" s="10" t="n"/>
      <c r="R10" s="10" t="inlineStr"/>
      <c r="S10" s="12" t="n">
        <v>0</v>
      </c>
      <c r="T10" s="10" t="inlineStr">
        <is>
          <t>T-202</t>
        </is>
      </c>
      <c r="U10" s="10" t="inlineStr">
        <is>
          <t>H-201</t>
        </is>
      </c>
      <c r="V10" s="10" t="inlineStr">
        <is>
          <t>agents/assets/ecc-ledger.json</t>
        </is>
      </c>
    </row>
    <row r="11" ht="58" customHeight="1">
      <c r="A11" s="9" t="n">
        <v>2</v>
      </c>
      <c r="B11" s="9" t="n">
        <v>7</v>
      </c>
      <c r="C11" s="10" t="inlineStr">
        <is>
          <t>H-203</t>
        </is>
      </c>
      <c r="D11" s="11" t="inlineStr">
        <is>
          <t>PK-03</t>
        </is>
      </c>
      <c r="E11" s="10" t="inlineStr">
        <is>
          <t>Revisione manuale asset in allowlist</t>
        </is>
      </c>
      <c r="F11" s="10" t="inlineStr">
        <is>
          <t>**Fase 2.** `docs/ecc-review.md`</t>
        </is>
      </c>
      <c r="G11" s="10" t="inlineStr">
        <is>
          <t>Checklist firmata su ogni asset ammesso</t>
        </is>
      </c>
      <c r="H11" s="10" t="inlineStr">
        <is>
          <t>H-202 [P]</t>
        </is>
      </c>
      <c r="I11" s="9" t="inlineStr">
        <is>
          <t>Da fare</t>
        </is>
      </c>
      <c r="J11" s="9">
        <f>IF(I11="Fatto","✔ Sì","✘ No")</f>
        <v/>
      </c>
      <c r="K11" s="9" t="inlineStr">
        <is>
          <t>NARO</t>
        </is>
      </c>
      <c r="L11" s="9" t="inlineStr"/>
      <c r="M11" s="10" t="inlineStr"/>
      <c r="N11" s="9" t="inlineStr">
        <is>
          <t>—</t>
        </is>
      </c>
      <c r="O11" s="10" t="inlineStr">
        <is>
          <t>—</t>
        </is>
      </c>
      <c r="P11" s="10" t="n"/>
      <c r="Q11" s="10" t="n"/>
      <c r="R11" s="10" t="inlineStr"/>
      <c r="S11" s="12" t="n">
        <v>0</v>
      </c>
      <c r="T11" s="10" t="inlineStr">
        <is>
          <t>—</t>
        </is>
      </c>
      <c r="U11" s="10" t="inlineStr">
        <is>
          <t>H-202</t>
        </is>
      </c>
      <c r="V11" s="10" t="inlineStr">
        <is>
          <t>docs/ecc-review.md</t>
        </is>
      </c>
    </row>
    <row r="12" ht="58" customHeight="1">
      <c r="A12" s="9" t="n">
        <v>2</v>
      </c>
      <c r="B12" s="9" t="n">
        <v>8</v>
      </c>
      <c r="C12" s="10" t="inlineStr">
        <is>
          <t>H-204</t>
        </is>
      </c>
      <c r="D12" s="11" t="inlineStr">
        <is>
          <t>PK-03</t>
        </is>
      </c>
      <c r="E12" s="10" t="inlineStr">
        <is>
          <t>Matrice catena</t>
        </is>
      </c>
      <c r="F12" s="10" t="inlineStr">
        <is>
          <t>**Fase 2.** `docs/chain-matrix.md`, `agents/assets/chain-matrix.json`</t>
        </is>
      </c>
      <c r="G12" s="10" t="inlineStr">
        <is>
          <t>Assegnare 71 agenti + 311 skill a un ruolo o escluderli con motivo</t>
        </is>
      </c>
      <c r="H12" s="10" t="inlineStr">
        <is>
          <t>H-201, H-202 [P]</t>
        </is>
      </c>
      <c r="I12" s="9" t="inlineStr">
        <is>
          <t>Da fare</t>
        </is>
      </c>
      <c r="J12" s="9">
        <f>IF(I12="Fatto","✔ Sì","✘ No")</f>
        <v/>
      </c>
      <c r="K12" s="9" t="inlineStr">
        <is>
          <t>NARO</t>
        </is>
      </c>
      <c r="L12" s="9" t="inlineStr"/>
      <c r="M12" s="10" t="inlineStr"/>
      <c r="N12" s="9" t="inlineStr">
        <is>
          <t>—</t>
        </is>
      </c>
      <c r="O12" s="10" t="inlineStr">
        <is>
          <t>—</t>
        </is>
      </c>
      <c r="P12" s="10" t="n"/>
      <c r="Q12" s="10" t="n"/>
      <c r="R12" s="10" t="inlineStr"/>
      <c r="S12" s="12" t="n">
        <v>0</v>
      </c>
      <c r="T12" s="10" t="inlineStr">
        <is>
          <t>T-204</t>
        </is>
      </c>
      <c r="U12" s="10" t="inlineStr">
        <is>
          <t>H-201, H-202</t>
        </is>
      </c>
      <c r="V12" s="10" t="inlineStr">
        <is>
          <t>docs/chain-matrix.md, agents/assets/chain-matrix.json</t>
        </is>
      </c>
    </row>
    <row r="13" ht="58" customHeight="1">
      <c r="A13" s="9" t="n">
        <v>3</v>
      </c>
      <c r="B13" s="9" t="n">
        <v>9</v>
      </c>
      <c r="C13" s="10" t="inlineStr">
        <is>
          <t>H-301</t>
        </is>
      </c>
      <c r="D13" s="11" t="inlineStr">
        <is>
          <t>PK-04</t>
        </is>
      </c>
      <c r="E13" s="10" t="inlineStr">
        <is>
          <t>Import LIMET e CEREBRO nel monorepo</t>
        </is>
      </c>
      <c r="F13" s="10" t="inlineStr">
        <is>
          <t>**Azione del SUPERVISORE** (commit/push). Done: originali invariati (IN §5 Fase 3). **[N]** Q-9 (remote CEREBRO)</t>
        </is>
      </c>
      <c r="G13" s="10" t="inlineStr">
        <is>
          <t>Portare `limet/` e `cerebro/` con storia in sottocartelle</t>
        </is>
      </c>
      <c r="H13" s="10" t="inlineStr">
        <is>
          <t>H-101 [P]</t>
        </is>
      </c>
      <c r="I13" s="9" t="inlineStr">
        <is>
          <t>Da fare</t>
        </is>
      </c>
      <c r="J13" s="9">
        <f>IF(I13="Fatto","✔ Sì","✘ No")</f>
        <v/>
      </c>
      <c r="K13" s="9" t="inlineStr">
        <is>
          <t>SUPERVISORE</t>
        </is>
      </c>
      <c r="L13" s="9" t="inlineStr"/>
      <c r="M13" s="10" t="inlineStr"/>
      <c r="N13" s="9" t="inlineStr">
        <is>
          <t>—</t>
        </is>
      </c>
      <c r="O13" s="10" t="inlineStr">
        <is>
          <t>—</t>
        </is>
      </c>
      <c r="P13" s="10" t="n"/>
      <c r="Q13" s="10" t="n"/>
      <c r="R13" s="10" t="inlineStr"/>
      <c r="S13" s="12" t="n">
        <v>0</v>
      </c>
      <c r="T13" s="10" t="inlineStr">
        <is>
          <t>—</t>
        </is>
      </c>
      <c r="U13" s="10" t="inlineStr">
        <is>
          <t>—</t>
        </is>
      </c>
      <c r="V13" s="10" t="inlineStr">
        <is>
          <t>limet/, cerebro/ (nuove cartelle di import)</t>
        </is>
      </c>
    </row>
    <row r="14" ht="58" customHeight="1">
      <c r="A14" s="9" t="n">
        <v>3</v>
      </c>
      <c r="B14" s="9" t="n">
        <v>10</v>
      </c>
      <c r="C14" s="10" t="inlineStr">
        <is>
          <t>H-306</t>
        </is>
      </c>
      <c r="D14" s="11" t="inlineStr">
        <is>
          <t>PK-05</t>
        </is>
      </c>
      <c r="E14" s="10" t="inlineStr">
        <is>
          <t>CI a matrice</t>
        </is>
      </c>
      <c r="F14" s="10" t="inlineStr">
        <is>
          <t>`.github/workflows/ci.yml`</t>
        </is>
      </c>
      <c r="G14" s="10" t="inlineStr">
        <is>
          <t>Stessa suite su windows/ubuntu/macos</t>
        </is>
      </c>
      <c r="H14" s="10" t="inlineStr">
        <is>
          <t>H-103</t>
        </is>
      </c>
      <c r="I14" s="9" t="inlineStr">
        <is>
          <t>Da fare</t>
        </is>
      </c>
      <c r="J14" s="9">
        <f>IF(I14="Fatto","✔ Sì","✘ No")</f>
        <v/>
      </c>
      <c r="K14" s="9" t="inlineStr">
        <is>
          <t>SCIBETTA</t>
        </is>
      </c>
      <c r="L14" s="9" t="inlineStr"/>
      <c r="M14" s="10" t="inlineStr"/>
      <c r="N14" s="9" t="inlineStr">
        <is>
          <t>—</t>
        </is>
      </c>
      <c r="O14" s="10" t="inlineStr">
        <is>
          <t>—</t>
        </is>
      </c>
      <c r="P14" s="10" t="n"/>
      <c r="Q14" s="10" t="n"/>
      <c r="R14" s="10" t="inlineStr"/>
      <c r="S14" s="12" t="n">
        <v>0</v>
      </c>
      <c r="T14" s="10" t="inlineStr">
        <is>
          <t>T-306</t>
        </is>
      </c>
      <c r="U14" s="10" t="inlineStr">
        <is>
          <t>—</t>
        </is>
      </c>
      <c r="V14" s="10" t="inlineStr">
        <is>
          <t>.github/workflows/ci.yml</t>
        </is>
      </c>
    </row>
    <row r="15" ht="58" customHeight="1">
      <c r="A15" s="9" t="n">
        <v>3</v>
      </c>
      <c r="B15" s="9" t="n">
        <v>11</v>
      </c>
      <c r="C15" s="10" t="inlineStr">
        <is>
          <t>H-302</t>
        </is>
      </c>
      <c r="D15" s="11" t="inlineStr">
        <is>
          <t>PK-05b</t>
        </is>
      </c>
      <c r="E15" s="10" t="inlineStr">
        <is>
          <t>Segreti fuori dal repo</t>
        </is>
      </c>
      <c r="F15" s="10" t="inlineStr">
        <is>
          <t>Test T-302</t>
        </is>
      </c>
      <c r="G15" s="10" t="inlineStr">
        <is>
          <t>`projects.example.json`, `.gitignore` per `cache/` e dati Qdrant, scansione segreti in CI</t>
        </is>
      </c>
      <c r="H15" s="10" t="inlineStr">
        <is>
          <t>H-301</t>
        </is>
      </c>
      <c r="I15" s="9" t="inlineStr">
        <is>
          <t>Da fare</t>
        </is>
      </c>
      <c r="J15" s="9">
        <f>IF(I15="Fatto","✔ Sì","✘ No")</f>
        <v/>
      </c>
      <c r="K15" s="9" t="inlineStr">
        <is>
          <t>SCIBETTA</t>
        </is>
      </c>
      <c r="L15" s="9" t="inlineStr"/>
      <c r="M15" s="10" t="inlineStr"/>
      <c r="N15" s="9" t="inlineStr">
        <is>
          <t>—</t>
        </is>
      </c>
      <c r="O15" s="10" t="inlineStr">
        <is>
          <t>—</t>
        </is>
      </c>
      <c r="P15" s="10" t="n"/>
      <c r="Q15" s="10" t="n"/>
      <c r="R15" s="10" t="inlineStr"/>
      <c r="S15" s="12" t="n">
        <v>0</v>
      </c>
      <c r="T15" s="10" t="inlineStr">
        <is>
          <t>T-302</t>
        </is>
      </c>
      <c r="U15" s="10" t="inlineStr">
        <is>
          <t>H-301</t>
        </is>
      </c>
      <c r="V15" s="10" t="inlineStr">
        <is>
          <t>.gitignore, projects.example.json, .github/workflows/ci.yml (scansione segreti)</t>
        </is>
      </c>
    </row>
    <row r="16" ht="58" customHeight="1">
      <c r="A16" s="9" t="n">
        <v>3</v>
      </c>
      <c r="B16" s="9" t="n">
        <v>12</v>
      </c>
      <c r="C16" s="10" t="inlineStr">
        <is>
          <t>H-304</t>
        </is>
      </c>
      <c r="D16" s="11" t="inlineStr">
        <is>
          <t>PK-06</t>
        </is>
      </c>
      <c r="E16" s="10" t="inlineStr">
        <is>
          <t>Shim `compat/`</t>
        </is>
      </c>
      <c r="F16" s="10" t="inlineStr">
        <is>
          <t>T-304</t>
        </is>
      </c>
      <c r="G16" s="10" t="inlineStr">
        <is>
          <t>Mantenere invariati comandi legacy (`cerebro.sh`, `query_qdrant.py`, `ingest_docs.py`, `limet.ps1/.sh`, hook/MCP): stessi argomenti, porte, nomi collection</t>
        </is>
      </c>
      <c r="H16" s="10" t="inlineStr">
        <is>
          <t>H-301</t>
        </is>
      </c>
      <c r="I16" s="9" t="inlineStr">
        <is>
          <t>Da fare</t>
        </is>
      </c>
      <c r="J16" s="9">
        <f>IF(I16="Fatto","✔ Sì","✘ No")</f>
        <v/>
      </c>
      <c r="K16" s="9" t="inlineStr">
        <is>
          <t>SCIBETTA</t>
        </is>
      </c>
      <c r="L16" s="9" t="inlineStr"/>
      <c r="M16" s="10" t="inlineStr"/>
      <c r="N16" s="9" t="inlineStr">
        <is>
          <t>—</t>
        </is>
      </c>
      <c r="O16" s="10" t="inlineStr">
        <is>
          <t>—</t>
        </is>
      </c>
      <c r="P16" s="10" t="n"/>
      <c r="Q16" s="10" t="n"/>
      <c r="R16" s="10" t="inlineStr"/>
      <c r="S16" s="12" t="n">
        <v>0</v>
      </c>
      <c r="T16" s="10" t="inlineStr">
        <is>
          <t>T-304</t>
        </is>
      </c>
      <c r="U16" s="10" t="inlineStr">
        <is>
          <t>H-301</t>
        </is>
      </c>
      <c r="V16" s="10" t="inlineStr">
        <is>
          <t>compat/, tests/test_module_boundaries.py</t>
        </is>
      </c>
    </row>
    <row r="17" ht="58" customHeight="1">
      <c r="A17" s="9" t="n">
        <v>3</v>
      </c>
      <c r="B17" s="9" t="n">
        <v>13</v>
      </c>
      <c r="C17" s="10" t="inlineStr">
        <is>
          <t>H-305</t>
        </is>
      </c>
      <c r="D17" s="11" t="inlineStr">
        <is>
          <t>PK-06</t>
        </is>
      </c>
      <c r="E17" s="10" t="inlineStr">
        <is>
          <t>Test dei confini tra moduli</t>
        </is>
      </c>
      <c r="F17" s="10" t="inlineStr">
        <is>
          <t>`tests/test_module_boundaries.py`</t>
        </is>
      </c>
      <c r="G17" s="10" t="inlineStr">
        <is>
          <t>Evitare dipendenze incrociate non previste</t>
        </is>
      </c>
      <c r="H17" s="10" t="inlineStr">
        <is>
          <t>H-301</t>
        </is>
      </c>
      <c r="I17" s="9" t="inlineStr">
        <is>
          <t>Da fare</t>
        </is>
      </c>
      <c r="J17" s="9">
        <f>IF(I17="Fatto","✔ Sì","✘ No")</f>
        <v/>
      </c>
      <c r="K17" s="9" t="inlineStr">
        <is>
          <t>SCIBETTA</t>
        </is>
      </c>
      <c r="L17" s="9" t="inlineStr"/>
      <c r="M17" s="10" t="inlineStr"/>
      <c r="N17" s="9" t="inlineStr">
        <is>
          <t>—</t>
        </is>
      </c>
      <c r="O17" s="10" t="inlineStr">
        <is>
          <t>—</t>
        </is>
      </c>
      <c r="P17" s="10" t="n"/>
      <c r="Q17" s="10" t="n"/>
      <c r="R17" s="10" t="inlineStr"/>
      <c r="S17" s="12" t="n">
        <v>0</v>
      </c>
      <c r="T17" s="10" t="inlineStr">
        <is>
          <t>T-305</t>
        </is>
      </c>
      <c r="U17" s="10" t="inlineStr">
        <is>
          <t>H-301</t>
        </is>
      </c>
      <c r="V17" s="10" t="inlineStr">
        <is>
          <t>tests/test_module_boundaries.py</t>
        </is>
      </c>
    </row>
    <row r="18" ht="58" customHeight="1">
      <c r="A18" s="9" t="n">
        <v>3</v>
      </c>
      <c r="B18" s="9" t="n">
        <v>14</v>
      </c>
      <c r="C18" s="10" t="inlineStr">
        <is>
          <t>H-307</t>
        </is>
      </c>
      <c r="D18" s="11" t="inlineStr">
        <is>
          <t>PK-07</t>
        </is>
      </c>
      <c r="E18" s="10" t="inlineStr">
        <is>
          <t>Correzione percorso CEREBRO in `CLAUDE.md`</t>
        </is>
      </c>
      <c r="F18" s="10" t="inlineStr">
        <is>
          <t>Done: nessun riferimento (IN §5 Fase 3)</t>
        </is>
      </c>
      <c r="G18" s="10" t="inlineStr">
        <is>
          <t>Eliminare il riferimento `C:\Progetti\CEREBRO` nella copia interna</t>
        </is>
      </c>
      <c r="H18" s="10" t="inlineStr">
        <is>
          <t>H-301</t>
        </is>
      </c>
      <c r="I18" s="9" t="inlineStr">
        <is>
          <t>Da fare</t>
        </is>
      </c>
      <c r="J18" s="9">
        <f>IF(I18="Fatto","✔ Sì","✘ No")</f>
        <v/>
      </c>
      <c r="K18" s="9" t="inlineStr">
        <is>
          <t>NARO</t>
        </is>
      </c>
      <c r="L18" s="9" t="inlineStr"/>
      <c r="M18" s="10" t="inlineStr"/>
      <c r="N18" s="9" t="inlineStr">
        <is>
          <t>—</t>
        </is>
      </c>
      <c r="O18" s="10" t="inlineStr">
        <is>
          <t>—</t>
        </is>
      </c>
      <c r="P18" s="10" t="n"/>
      <c r="Q18" s="10" t="n"/>
      <c r="R18" s="10" t="inlineStr"/>
      <c r="S18" s="12" t="n">
        <v>0</v>
      </c>
      <c r="T18" s="10" t="inlineStr">
        <is>
          <t>—</t>
        </is>
      </c>
      <c r="U18" s="10" t="inlineStr">
        <is>
          <t>H-301</t>
        </is>
      </c>
      <c r="V18" s="10" t="inlineStr">
        <is>
          <t>cerebro/CLAUDE.md [P: copia interna]</t>
        </is>
      </c>
    </row>
    <row r="19" ht="58" customHeight="1">
      <c r="A19" s="9" t="n">
        <v>4</v>
      </c>
      <c r="B19" s="9" t="n">
        <v>15</v>
      </c>
      <c r="C19" s="10" t="inlineStr">
        <is>
          <t>H-401</t>
        </is>
      </c>
      <c r="D19" s="11" t="inlineStr">
        <is>
          <t>PK-08</t>
        </is>
      </c>
      <c r="E19" s="10" t="inlineStr">
        <is>
          <t>Runner con allowlist</t>
        </is>
      </c>
      <c r="F19" s="10" t="inlineStr">
        <is>
          <t>`agents/runner/`</t>
        </is>
      </c>
      <c r="G19" s="10" t="inlineStr">
        <is>
          <t>Eseguire solo operazioni ammesse, senza rete, con log hashato, senza commit/push</t>
        </is>
      </c>
      <c r="H19" s="10" t="inlineStr">
        <is>
          <t>H-303, H-103 [P]</t>
        </is>
      </c>
      <c r="I19" s="9" t="inlineStr">
        <is>
          <t>Da fare</t>
        </is>
      </c>
      <c r="J19" s="9">
        <f>IF(I19="Fatto","✔ Sì","✘ No")</f>
        <v/>
      </c>
      <c r="K19" s="9" t="inlineStr">
        <is>
          <t>SCIBETTA</t>
        </is>
      </c>
      <c r="L19" s="9" t="inlineStr"/>
      <c r="M19" s="10" t="inlineStr"/>
      <c r="N19" s="9" t="inlineStr">
        <is>
          <t>—</t>
        </is>
      </c>
      <c r="O19" s="10" t="inlineStr">
        <is>
          <t>—</t>
        </is>
      </c>
      <c r="P19" s="10" t="n"/>
      <c r="Q19" s="10" t="n"/>
      <c r="R19" s="10" t="inlineStr"/>
      <c r="S19" s="12" t="n">
        <v>0</v>
      </c>
      <c r="T19" s="10" t="inlineStr">
        <is>
          <t>T-401, T-402</t>
        </is>
      </c>
      <c r="U19" s="10" t="inlineStr">
        <is>
          <t>H-303</t>
        </is>
      </c>
      <c r="V19" s="10" t="inlineStr">
        <is>
          <t>agents/runner/</t>
        </is>
      </c>
    </row>
    <row r="20" ht="58" customHeight="1">
      <c r="A20" s="9" t="n">
        <v>4</v>
      </c>
      <c r="B20" s="9" t="n">
        <v>16</v>
      </c>
      <c r="C20" s="10" t="inlineStr">
        <is>
          <t>H-404</t>
        </is>
      </c>
      <c r="D20" s="11" t="inlineStr">
        <is>
          <t>PK-08</t>
        </is>
      </c>
      <c r="E20" s="10" t="inlineStr">
        <is>
          <t>Policy permessi con pavimento hard-deny</t>
        </is>
      </c>
      <c r="F20" s="10" t="inlineStr">
        <is>
          <t>`agents/policy/policy.json`, `floor.json`</t>
        </is>
      </c>
      <c r="G20" s="10" t="inlineStr">
        <is>
          <t>Impedire che permessi pericolosi siano rimovibili</t>
        </is>
      </c>
      <c r="H20" s="10" t="inlineStr">
        <is>
          <t>H-401 [P]</t>
        </is>
      </c>
      <c r="I20" s="9" t="inlineStr">
        <is>
          <t>Da fare</t>
        </is>
      </c>
      <c r="J20" s="9">
        <f>IF(I20="Fatto","✔ Sì","✘ No")</f>
        <v/>
      </c>
      <c r="K20" s="9" t="inlineStr">
        <is>
          <t>SCIBETTA</t>
        </is>
      </c>
      <c r="L20" s="9" t="inlineStr"/>
      <c r="M20" s="10" t="inlineStr"/>
      <c r="N20" s="9" t="inlineStr">
        <is>
          <t>—</t>
        </is>
      </c>
      <c r="O20" s="10" t="inlineStr">
        <is>
          <t>—</t>
        </is>
      </c>
      <c r="P20" s="10" t="n"/>
      <c r="Q20" s="10" t="n"/>
      <c r="R20" s="10" t="inlineStr"/>
      <c r="S20" s="12" t="n">
        <v>0</v>
      </c>
      <c r="T20" s="10" t="inlineStr">
        <is>
          <t>T-405</t>
        </is>
      </c>
      <c r="U20" s="10" t="inlineStr">
        <is>
          <t>H-401</t>
        </is>
      </c>
      <c r="V20" s="10" t="inlineStr">
        <is>
          <t>agents/policy/policy.json, floor.json</t>
        </is>
      </c>
    </row>
    <row r="21" ht="58" customHeight="1">
      <c r="A21" s="9" t="n">
        <v>4</v>
      </c>
      <c r="B21" s="9" t="n">
        <v>17</v>
      </c>
      <c r="C21" s="10" t="inlineStr">
        <is>
          <t>H-402</t>
        </is>
      </c>
      <c r="D21" s="11" t="inlineStr">
        <is>
          <t>PK-09</t>
        </is>
      </c>
      <c r="E21" s="10" t="inlineStr">
        <is>
          <t>Ruoli PoC</t>
        </is>
      </c>
      <c r="F21" s="10" t="inlineStr">
        <is>
          <t>`agents/roles/*.md`</t>
        </is>
      </c>
      <c r="G21" s="10" t="inlineStr">
        <is>
          <t>analyst, developer, reviewer con `tools:` senza Bash libero</t>
        </is>
      </c>
      <c r="H21" s="10" t="inlineStr">
        <is>
          <t>H-404, H-303 [P]</t>
        </is>
      </c>
      <c r="I21" s="9" t="inlineStr">
        <is>
          <t>Da fare</t>
        </is>
      </c>
      <c r="J21" s="9">
        <f>IF(I21="Fatto","✔ Sì","✘ No")</f>
        <v/>
      </c>
      <c r="K21" s="9" t="inlineStr">
        <is>
          <t>SCIBETTA</t>
        </is>
      </c>
      <c r="L21" s="9" t="inlineStr"/>
      <c r="M21" s="10" t="inlineStr"/>
      <c r="N21" s="9" t="inlineStr">
        <is>
          <t>—</t>
        </is>
      </c>
      <c r="O21" s="10" t="inlineStr">
        <is>
          <t>—</t>
        </is>
      </c>
      <c r="P21" s="10" t="n"/>
      <c r="Q21" s="10" t="n"/>
      <c r="R21" s="10" t="inlineStr"/>
      <c r="S21" s="12" t="n">
        <v>0</v>
      </c>
      <c r="T21" s="10" t="inlineStr">
        <is>
          <t>T-403</t>
        </is>
      </c>
      <c r="U21" s="10" t="inlineStr">
        <is>
          <t>H-303, H-404</t>
        </is>
      </c>
      <c r="V21" s="10" t="inlineStr">
        <is>
          <t>agents/roles/*.md</t>
        </is>
      </c>
    </row>
    <row r="22" ht="58" customHeight="1">
      <c r="A22" s="9" t="n">
        <v>4</v>
      </c>
      <c r="B22" s="9" t="n">
        <v>18</v>
      </c>
      <c r="C22" s="10" t="inlineStr">
        <is>
          <t>H-403</t>
        </is>
      </c>
      <c r="D22" s="11" t="inlineStr">
        <is>
          <t>PK-10</t>
        </is>
      </c>
      <c r="E22" s="10" t="inlineStr">
        <is>
          <t>Gate umano meccanico sul PLAN</t>
        </is>
      </c>
      <c r="F22" s="10" t="inlineStr">
        <is>
          <t>`agents/workflow/gate.py`</t>
        </is>
      </c>
      <c r="G22" s="10" t="inlineStr">
        <is>
          <t>Nessun avanzamento senza approvazione umana</t>
        </is>
      </c>
      <c r="H22" s="10" t="inlineStr">
        <is>
          <t>H-303 [P]</t>
        </is>
      </c>
      <c r="I22" s="9" t="inlineStr">
        <is>
          <t>Da fare</t>
        </is>
      </c>
      <c r="J22" s="9">
        <f>IF(I22="Fatto","✔ Sì","✘ No")</f>
        <v/>
      </c>
      <c r="K22" s="9" t="inlineStr">
        <is>
          <t>NARO</t>
        </is>
      </c>
      <c r="L22" s="9" t="inlineStr"/>
      <c r="M22" s="10" t="inlineStr"/>
      <c r="N22" s="9" t="inlineStr">
        <is>
          <t>—</t>
        </is>
      </c>
      <c r="O22" s="10" t="inlineStr">
        <is>
          <t>—</t>
        </is>
      </c>
      <c r="P22" s="10" t="n"/>
      <c r="Q22" s="10" t="n"/>
      <c r="R22" s="10" t="inlineStr"/>
      <c r="S22" s="12" t="n">
        <v>0</v>
      </c>
      <c r="T22" s="10" t="inlineStr">
        <is>
          <t>T-404</t>
        </is>
      </c>
      <c r="U22" s="10" t="inlineStr">
        <is>
          <t>H-303</t>
        </is>
      </c>
      <c r="V22" s="10" t="inlineStr">
        <is>
          <t>agents/workflow/gate.py</t>
        </is>
      </c>
    </row>
    <row r="23" ht="58" customHeight="1">
      <c r="A23" s="9" t="n">
        <v>4</v>
      </c>
      <c r="B23" s="9" t="n">
        <v>19</v>
      </c>
      <c r="C23" s="10" t="inlineStr">
        <is>
          <t>H-407</t>
        </is>
      </c>
      <c r="D23" s="11" t="inlineStr">
        <is>
          <t>PK-11</t>
        </is>
      </c>
      <c r="E23" s="10" t="inlineStr">
        <is>
          <t>Prova del plugin Claude Code</t>
        </is>
      </c>
      <c r="F23" s="10" t="inlineStr">
        <is>
          <t>`agents/plugin/`</t>
        </is>
      </c>
      <c r="G23" s="10" t="inlineStr">
        <is>
          <t>Dimostrare registrazione e invocazione reale del workflow in sessione Claude Code (V13/V14)</t>
        </is>
      </c>
      <c r="H23" s="10" t="inlineStr">
        <is>
          <t>H-103, H-303 [P]</t>
        </is>
      </c>
      <c r="I23" s="9" t="inlineStr">
        <is>
          <t>Da fare</t>
        </is>
      </c>
      <c r="J23" s="9">
        <f>IF(I23="Fatto","✔ Sì","✘ No")</f>
        <v/>
      </c>
      <c r="K23" s="9" t="inlineStr">
        <is>
          <t>NARO</t>
        </is>
      </c>
      <c r="L23" s="9" t="inlineStr"/>
      <c r="M23" s="10" t="inlineStr"/>
      <c r="N23" s="9" t="inlineStr">
        <is>
          <t>—</t>
        </is>
      </c>
      <c r="O23" s="10" t="inlineStr">
        <is>
          <t>—</t>
        </is>
      </c>
      <c r="P23" s="10" t="n"/>
      <c r="Q23" s="10" t="n"/>
      <c r="R23" s="10" t="inlineStr"/>
      <c r="S23" s="12" t="n">
        <v>0</v>
      </c>
      <c r="T23" s="10" t="inlineStr">
        <is>
          <t>T-407</t>
        </is>
      </c>
      <c r="U23" s="10" t="inlineStr">
        <is>
          <t>H-303</t>
        </is>
      </c>
      <c r="V23" s="10" t="inlineStr">
        <is>
          <t>agents/plugin/, poc-report.md</t>
        </is>
      </c>
    </row>
    <row r="24" ht="58" customHeight="1">
      <c r="A24" s="9" t="n">
        <v>4</v>
      </c>
      <c r="B24" s="9" t="n">
        <v>20</v>
      </c>
      <c r="C24" s="10" t="inlineStr">
        <is>
          <t>H-405</t>
        </is>
      </c>
      <c r="D24" s="11" t="inlineStr">
        <is>
          <t>PK-12</t>
        </is>
      </c>
      <c r="E24" s="10" t="inlineStr">
        <is>
          <t>Asset ECC portato + A/B</t>
        </is>
      </c>
      <c r="F24" s="10" t="inlineStr">
        <is>
          <t>T-406. Asset = `code-reviewer` ECC (Q-4 chiusa, 2026-10-29). **[N]** Metrica e baseline da definire (Q-6)</t>
        </is>
      </c>
      <c r="G24" s="10" t="inlineStr">
        <is>
          <t>Portare un asset `ecc-*` e confrontarlo con la baseline</t>
        </is>
      </c>
      <c r="H24" s="10" t="inlineStr">
        <is>
          <t>H-402, H-401</t>
        </is>
      </c>
      <c r="I24" s="9" t="inlineStr">
        <is>
          <t>Da fare</t>
        </is>
      </c>
      <c r="J24" s="9">
        <f>IF(I24="Fatto","✔ Sì","✘ No")</f>
        <v/>
      </c>
      <c r="K24" s="9" t="inlineStr">
        <is>
          <t>SCIBETTA</t>
        </is>
      </c>
      <c r="L24" s="9" t="inlineStr"/>
      <c r="M24" s="10" t="inlineStr"/>
      <c r="N24" s="9" t="inlineStr">
        <is>
          <t>—</t>
        </is>
      </c>
      <c r="O24" s="10" t="inlineStr">
        <is>
          <t>—</t>
        </is>
      </c>
      <c r="P24" s="10" t="n"/>
      <c r="Q24" s="10" t="n"/>
      <c r="R24" s="10" t="inlineStr"/>
      <c r="S24" s="12" t="n">
        <v>0</v>
      </c>
      <c r="T24" s="10" t="inlineStr">
        <is>
          <t>T-406</t>
        </is>
      </c>
      <c r="U24" s="10" t="inlineStr">
        <is>
          <t>H-401, H-402</t>
        </is>
      </c>
      <c r="V24" s="10" t="inlineStr">
        <is>
          <t>tests/test_ab_metrics.py, [N] cartella dell'asset ecc-code-reviewer</t>
        </is>
      </c>
    </row>
    <row r="25" ht="58" customHeight="1">
      <c r="A25" s="9" t="n">
        <v>4</v>
      </c>
      <c r="B25" s="9" t="n">
        <v>21</v>
      </c>
      <c r="C25" s="10" t="inlineStr">
        <is>
          <t>H-406</t>
        </is>
      </c>
      <c r="D25" s="11" t="inlineStr">
        <is>
          <t>PK-13</t>
        </is>
      </c>
      <c r="E25" s="10" t="inlineStr">
        <is>
          <t>Rapporto go/no-go</t>
        </is>
      </c>
      <c r="F25" s="10" t="inlineStr">
        <is>
          <t>`docs/poc-report.md`. **PUNTO DI DECISIONE del SUPERVISORE (GO / NO-GO / piano B), non fine del piano**: Fasi 5–12 dipendono da questo esito</t>
        </is>
      </c>
      <c r="G25" s="10" t="inlineStr">
        <is>
          <t>Giudicare i 10 criteri di R05 §5</t>
        </is>
      </c>
      <c r="H25" s="10" t="inlineStr">
        <is>
          <t>H-401…H-405, H-407</t>
        </is>
      </c>
      <c r="I25" s="9" t="inlineStr">
        <is>
          <t>Da fare</t>
        </is>
      </c>
      <c r="J25" s="9">
        <f>IF(I25="Fatto","✔ Sì","✘ No")</f>
        <v/>
      </c>
      <c r="K25" s="9" t="inlineStr">
        <is>
          <t>NARO</t>
        </is>
      </c>
      <c r="L25" s="9" t="inlineStr"/>
      <c r="M25" s="10" t="inlineStr"/>
      <c r="N25" s="9" t="inlineStr">
        <is>
          <t>—</t>
        </is>
      </c>
      <c r="O25" s="10" t="inlineStr">
        <is>
          <t>—</t>
        </is>
      </c>
      <c r="P25" s="10" t="n"/>
      <c r="Q25" s="10" t="n"/>
      <c r="R25" s="10" t="inlineStr"/>
      <c r="S25" s="12" t="n">
        <v>0</v>
      </c>
      <c r="T25" s="10" t="inlineStr">
        <is>
          <t>—</t>
        </is>
      </c>
      <c r="U25" s="10" t="inlineStr">
        <is>
          <t>H-401, H-402, H-403, H-404, H-405, H-407</t>
        </is>
      </c>
      <c r="V25" s="10" t="inlineStr">
        <is>
          <t>docs/poc-report.md</t>
        </is>
      </c>
    </row>
  </sheetData>
  <autoFilter ref="A4:V25"/>
  <mergeCells count="1">
    <mergeCell ref="A1:V1"/>
  </mergeCells>
  <conditionalFormatting sqref="A5:S25">
    <cfRule type="expression" priority="1" dxfId="0">
      <formula>AND($S5=1,$I5&lt;&gt;"Fatto")</formula>
    </cfRule>
    <cfRule type="expression" priority="2" dxfId="1">
      <formula>$I5="Fatto"</formula>
    </cfRule>
  </conditionalFormatting>
  <conditionalFormatting sqref="I5:I25">
    <cfRule type="cellIs" priority="3" operator="equal" dxfId="2">
      <formula>"Fatto"</formula>
    </cfRule>
    <cfRule type="cellIs" priority="4" operator="equal" dxfId="3">
      <formula>"In corso"</formula>
    </cfRule>
    <cfRule type="cellIs" priority="5" operator="equal" dxfId="4">
      <formula>"In review"</formula>
    </cfRule>
    <cfRule type="cellIs" priority="6" operator="equal" dxfId="5">
      <formula>"Bloccato"</formula>
    </cfRule>
    <cfRule type="cellIs" priority="7" operator="equal" dxfId="6">
      <formula>"Da fare"</formula>
    </cfRule>
  </conditionalFormatting>
  <conditionalFormatting sqref="K5:K25">
    <cfRule type="cellIs" priority="8" operator="equal" dxfId="7">
      <formula>"NARO"</formula>
    </cfRule>
    <cfRule type="cellIs" priority="9" operator="equal" dxfId="8">
      <formula>"SCIBETTA"</formula>
    </cfRule>
    <cfRule type="cellIs" priority="10" operator="equal" dxfId="9">
      <formula>"SUPERVISORE"</formula>
    </cfRule>
  </conditionalFormatting>
  <conditionalFormatting sqref="S5:S25">
    <cfRule type="dataBar" priority="11">
      <dataBar>
        <cfvo type="num" val="0"/>
        <cfvo type="num" val="1"/>
        <color rgb="0063BE7B"/>
      </dataBar>
    </cfRule>
  </conditionalFormatting>
  <dataValidations count="5">
    <dataValidation sqref="I5:I25" showDropDown="0" showInputMessage="0" showErrorMessage="0" allowBlank="1" type="list">
      <formula1>"Da fare,In corso,In review,Fatto,Bloccato"</formula1>
    </dataValidation>
    <dataValidation sqref="K5:K25" showDropDown="0" showInputMessage="0" showErrorMessage="0" allowBlank="1" type="list">
      <formula1>"NARO,SCIBETTA,SUPERVISORE,Da assegnare"</formula1>
    </dataValidation>
    <dataValidation sqref="L5:L25" showDropDown="0" showInputMessage="0" showErrorMessage="0" allowBlank="1" type="list">
      <formula1>"S,M,L"</formula1>
    </dataValidation>
    <dataValidation sqref="N5:N25" showDropDown="0" showInputMessage="0" showErrorMessage="0" allowBlank="1" type="list">
      <formula1>"Sì,No,—"</formula1>
    </dataValidation>
    <dataValidation sqref="S5:S25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V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46" customWidth="1" min="5" max="5"/>
    <col width="40" customWidth="1" min="6" max="6"/>
    <col width="52" customWidth="1" min="7" max="7"/>
    <col width="30" customWidth="1" min="8" max="8"/>
    <col width="12" customWidth="1" min="9" max="9"/>
    <col width="11" customWidth="1" min="10" max="10"/>
    <col width="15" customWidth="1" min="11" max="11"/>
    <col width="12" customWidth="1" min="12" max="12"/>
    <col width="26" customWidth="1" min="13" max="13"/>
    <col width="10" customWidth="1" min="14" max="14"/>
    <col width="26" customWidth="1" min="15" max="15"/>
    <col width="12" customWidth="1" min="16" max="16"/>
    <col width="12" customWidth="1" min="17" max="17"/>
    <col width="48" customWidth="1" min="18" max="18"/>
    <col width="14" customWidth="1" min="19" max="19"/>
    <col width="22" customWidth="1" min="20" max="20"/>
    <col width="36" customWidth="1" min="21" max="21"/>
    <col width="48" customWidth="1" min="22" max="22"/>
  </cols>
  <sheetData>
    <row r="1" ht="30" customHeight="1">
      <c r="A1" s="8" t="inlineStr">
        <is>
          <t>HELIOS — Distribuzione task · Post-GO (Fasi 5–12, solo dopo GO del SUPERVISORE)</t>
        </is>
      </c>
    </row>
    <row r="2">
      <c r="A2" s="3" t="inlineStr">
        <is>
          <t>Avanzamento:</t>
        </is>
      </c>
      <c r="B2" s="4">
        <f>COUNTIF(I5:I53,"Fatto")/COUNTA(C5:C53)</f>
        <v/>
      </c>
      <c r="C2">
        <f>COUNTIF(I5:I53,"Fatto")&amp;" fatti / "&amp;COUNTA(C5:C53)&amp;" task · "&amp;COUNTIF(I5:I53,"In corso")&amp;" in corso · "&amp;COUNTIF(I5:I53,"Bloccato")&amp;" bloccati"</f>
        <v/>
      </c>
    </row>
    <row r="4" ht="30" customHeight="1">
      <c r="A4" s="2" t="inlineStr">
        <is>
          <t>Fase</t>
        </is>
      </c>
      <c r="B4" s="2" t="inlineStr">
        <is>
          <t>Ordine</t>
        </is>
      </c>
      <c r="C4" s="2" t="inlineStr">
        <is>
          <t>ID</t>
        </is>
      </c>
      <c r="D4" s="2" t="inlineStr">
        <is>
          <t>Pacchetto</t>
        </is>
      </c>
      <c r="E4" s="2" t="inlineStr">
        <is>
          <t>Titolo</t>
        </is>
      </c>
      <c r="F4" s="2" t="inlineStr">
        <is>
          <t>Fonte (IN / R05)</t>
        </is>
      </c>
      <c r="G4" s="2" t="inlineStr">
        <is>
          <t>Descrizione / contesto</t>
        </is>
      </c>
      <c r="H4" s="2" t="inlineStr">
        <is>
          <t>Dipende da</t>
        </is>
      </c>
      <c r="I4" s="2" t="inlineStr">
        <is>
          <t>Stato</t>
        </is>
      </c>
      <c r="J4" s="2" t="inlineStr">
        <is>
          <t>Già fatto?</t>
        </is>
      </c>
      <c r="K4" s="2" t="inlineStr">
        <is>
          <t>Assegnato a</t>
        </is>
      </c>
      <c r="L4" s="2" t="inlineStr">
        <is>
          <t>Complessità</t>
        </is>
      </c>
      <c r="M4" s="2" t="inlineStr">
        <is>
          <t>Branch di riferimento</t>
        </is>
      </c>
      <c r="N4" s="2" t="inlineStr">
        <is>
          <t>Pushato?</t>
        </is>
      </c>
      <c r="O4" s="2" t="inlineStr">
        <is>
          <t>Commit (hash)</t>
        </is>
      </c>
      <c r="P4" s="2" t="inlineStr">
        <is>
          <t>Inizio</t>
        </is>
      </c>
      <c r="Q4" s="2" t="inlineStr">
        <is>
          <t>Fine</t>
        </is>
      </c>
      <c r="R4" s="2" t="inlineStr">
        <is>
          <t>Note</t>
        </is>
      </c>
      <c r="S4" s="2" t="inlineStr">
        <is>
          <t>% avanzamento</t>
        </is>
      </c>
      <c r="T4" s="2" t="inlineStr">
        <is>
          <t>Test T-xxx</t>
        </is>
      </c>
      <c r="U4" s="2" t="inlineStr">
        <is>
          <t>Prerequisiti ancora aperti</t>
        </is>
      </c>
      <c r="V4" s="2" t="inlineStr">
        <is>
          <t>Percorsi toccati</t>
        </is>
      </c>
    </row>
    <row r="5" ht="58" customHeight="1">
      <c r="A5" s="9" t="n">
        <v>6</v>
      </c>
      <c r="B5" s="9" t="n">
        <v>22</v>
      </c>
      <c r="C5" s="10" t="inlineStr">
        <is>
          <t>H-308</t>
        </is>
      </c>
      <c r="D5" s="11" t="inlineStr">
        <is>
          <t>PK-14</t>
        </is>
      </c>
      <c r="E5" s="10" t="inlineStr">
        <is>
          <t>Contratti della catena</t>
        </is>
      </c>
      <c r="F5" s="10" t="inlineStr">
        <is>
          <t>**Fasi 5–7, gruppo A.** T-308. **[P]** fase = 6 (contratti dei ruoli)</t>
        </is>
      </c>
      <c r="G5" s="10" t="inlineStr">
        <is>
          <t>Schemi `plan/result/findings/verdict/reading/merge/risk`, `state.json`, `events.jsonl`, stati R17</t>
        </is>
      </c>
      <c r="H5" s="10" t="inlineStr">
        <is>
          <t>H-303, H-401 (gruppo A)</t>
        </is>
      </c>
      <c r="I5" s="9" t="inlineStr">
        <is>
          <t>Da fare</t>
        </is>
      </c>
      <c r="J5" s="9">
        <f>IF(I5="Fatto","✔ Sì","✘ No")</f>
        <v/>
      </c>
      <c r="K5" s="9" t="inlineStr">
        <is>
          <t>SCIBETTA</t>
        </is>
      </c>
      <c r="L5" s="9" t="inlineStr"/>
      <c r="M5" s="10" t="inlineStr"/>
      <c r="N5" s="9" t="inlineStr">
        <is>
          <t>—</t>
        </is>
      </c>
      <c r="O5" s="10" t="inlineStr">
        <is>
          <t>—</t>
        </is>
      </c>
      <c r="P5" s="10" t="n"/>
      <c r="Q5" s="10" t="n"/>
      <c r="R5" s="10" t="inlineStr">
        <is>
          <t>Dopo GO</t>
        </is>
      </c>
      <c r="S5" s="12" t="n">
        <v>0</v>
      </c>
      <c r="T5" s="10" t="inlineStr">
        <is>
          <t>T-308</t>
        </is>
      </c>
      <c r="U5" s="10" t="inlineStr">
        <is>
          <t>H-303, H-401 · gruppo A/C come da dipendenze</t>
        </is>
      </c>
      <c r="V5" s="10" t="inlineStr">
        <is>
          <t>agents/contracts/ (nuovi schemi), agents/plugin/skills/limet-runner/</t>
        </is>
      </c>
    </row>
    <row r="6" ht="58" customHeight="1">
      <c r="A6" s="9" t="n">
        <v>6</v>
      </c>
      <c r="B6" s="9" t="n">
        <v>23</v>
      </c>
      <c r="C6" s="10" t="inlineStr">
        <is>
          <t>H-409</t>
        </is>
      </c>
      <c r="D6" s="11" t="inlineStr">
        <is>
          <t>PK-14</t>
        </is>
      </c>
      <c r="E6" s="10" t="inlineStr">
        <is>
          <t>Skill `limet-runner`</t>
        </is>
      </c>
      <c r="F6" s="10" t="inlineStr">
        <is>
          <t>**Gruppo A.** `agents/plugin/skills/limet-runner/`</t>
        </is>
      </c>
      <c r="G6" s="10" t="inlineStr">
        <is>
          <t>Wrapper del runner H-401 verso il workflow</t>
        </is>
      </c>
      <c r="H6" s="10" t="inlineStr">
        <is>
          <t>H-303, H-401 (gruppo A)</t>
        </is>
      </c>
      <c r="I6" s="9" t="inlineStr">
        <is>
          <t>Da fare</t>
        </is>
      </c>
      <c r="J6" s="9">
        <f>IF(I6="Fatto","✔ Sì","✘ No")</f>
        <v/>
      </c>
      <c r="K6" s="9" t="inlineStr">
        <is>
          <t>SCIBETTA</t>
        </is>
      </c>
      <c r="L6" s="9" t="inlineStr"/>
      <c r="M6" s="10" t="inlineStr"/>
      <c r="N6" s="9" t="inlineStr">
        <is>
          <t>—</t>
        </is>
      </c>
      <c r="O6" s="10" t="inlineStr">
        <is>
          <t>—</t>
        </is>
      </c>
      <c r="P6" s="10" t="n"/>
      <c r="Q6" s="10" t="n"/>
      <c r="R6" s="10" t="inlineStr">
        <is>
          <t>Dopo GO</t>
        </is>
      </c>
      <c r="S6" s="12" t="n">
        <v>0</v>
      </c>
      <c r="T6" s="10" t="inlineStr">
        <is>
          <t>T-409</t>
        </is>
      </c>
      <c r="U6" s="10" t="inlineStr">
        <is>
          <t>H-303, H-401 · gruppo A/C come da dipendenze</t>
        </is>
      </c>
      <c r="V6" s="10" t="inlineStr">
        <is>
          <t>agents/plugin/skills/limet-runner/</t>
        </is>
      </c>
    </row>
    <row r="7" ht="58" customHeight="1">
      <c r="A7" s="9" t="n">
        <v>7</v>
      </c>
      <c r="B7" s="9" t="n">
        <v>24</v>
      </c>
      <c r="C7" s="10" t="inlineStr">
        <is>
          <t>H-408</t>
        </is>
      </c>
      <c r="D7" s="11" t="inlineStr">
        <is>
          <t>PK-15</t>
        </is>
      </c>
      <c r="E7" s="10" t="inlineStr">
        <is>
          <t>Scheduler a funzioni pure (JS)</t>
        </is>
      </c>
      <c r="F7" s="10" t="inlineStr">
        <is>
          <t>**Gruppo A.** `agents/plugin/scheduler/limet-scheduler.js`</t>
        </is>
      </c>
      <c r="G7" s="10" t="inlineStr">
        <is>
          <t>Decidere cosa parte e quando (onde, budget)</t>
        </is>
      </c>
      <c r="H7" s="10" t="inlineStr">
        <is>
          <t>H-303, H-401 (gruppo A)</t>
        </is>
      </c>
      <c r="I7" s="9" t="inlineStr">
        <is>
          <t>Da fare</t>
        </is>
      </c>
      <c r="J7" s="9">
        <f>IF(I7="Fatto","✔ Sì","✘ No")</f>
        <v/>
      </c>
      <c r="K7" s="9" t="inlineStr">
        <is>
          <t>NARO</t>
        </is>
      </c>
      <c r="L7" s="9" t="inlineStr"/>
      <c r="M7" s="10" t="inlineStr"/>
      <c r="N7" s="9" t="inlineStr">
        <is>
          <t>—</t>
        </is>
      </c>
      <c r="O7" s="10" t="inlineStr">
        <is>
          <t>—</t>
        </is>
      </c>
      <c r="P7" s="10" t="n"/>
      <c r="Q7" s="10" t="n"/>
      <c r="R7" s="10" t="inlineStr">
        <is>
          <t>Dopo GO</t>
        </is>
      </c>
      <c r="S7" s="12" t="n">
        <v>0</v>
      </c>
      <c r="T7" s="10" t="inlineStr">
        <is>
          <t>T-408</t>
        </is>
      </c>
      <c r="U7" s="10" t="inlineStr">
        <is>
          <t>H-303, H-401 · gruppo A/C come da dipendenze</t>
        </is>
      </c>
      <c r="V7" s="10" t="inlineStr">
        <is>
          <t>agents/plugin/scheduler/limet-scheduler.js</t>
        </is>
      </c>
    </row>
    <row r="8" ht="58" customHeight="1">
      <c r="A8" s="9" t="n">
        <v>6</v>
      </c>
      <c r="B8" s="9" t="n">
        <v>25</v>
      </c>
      <c r="C8" s="10" t="inlineStr">
        <is>
          <t>H-611</t>
        </is>
      </c>
      <c r="D8" s="11" t="inlineStr">
        <is>
          <t>PK-15</t>
        </is>
      </c>
      <c r="E8" s="10" t="inlineStr">
        <is>
          <t>`_common` e rules per ruolo</t>
        </is>
      </c>
      <c r="F8" s="10" t="inlineStr">
        <is>
          <t>**Fase 6, gruppo A.** `agents/plugin/agents/_common.md`</t>
        </is>
      </c>
      <c r="G8" s="10" t="inlineStr">
        <is>
          <t>Regole condivise dei ruoli, «fermati e chiedi», regole KB §3.8</t>
        </is>
      </c>
      <c r="H8" s="10" t="inlineStr">
        <is>
          <t>H-303, H-401 (gruppo A)</t>
        </is>
      </c>
      <c r="I8" s="9" t="inlineStr">
        <is>
          <t>Da fare</t>
        </is>
      </c>
      <c r="J8" s="9">
        <f>IF(I8="Fatto","✔ Sì","✘ No")</f>
        <v/>
      </c>
      <c r="K8" s="9" t="inlineStr">
        <is>
          <t>NARO</t>
        </is>
      </c>
      <c r="L8" s="9" t="inlineStr"/>
      <c r="M8" s="10" t="inlineStr"/>
      <c r="N8" s="9" t="inlineStr">
        <is>
          <t>—</t>
        </is>
      </c>
      <c r="O8" s="10" t="inlineStr">
        <is>
          <t>—</t>
        </is>
      </c>
      <c r="P8" s="10" t="n"/>
      <c r="Q8" s="10" t="n"/>
      <c r="R8" s="10" t="inlineStr">
        <is>
          <t>Dopo GO</t>
        </is>
      </c>
      <c r="S8" s="12" t="n">
        <v>0</v>
      </c>
      <c r="T8" s="10" t="inlineStr">
        <is>
          <t>T-610</t>
        </is>
      </c>
      <c r="U8" s="10" t="inlineStr">
        <is>
          <t>H-303, H-401 · gruppo A/C come da dipendenze</t>
        </is>
      </c>
      <c r="V8" s="10" t="inlineStr">
        <is>
          <t>agents/plugin/agents/_common.md</t>
        </is>
      </c>
    </row>
    <row r="9" ht="58" customHeight="1">
      <c r="A9" s="9" t="n">
        <v>5</v>
      </c>
      <c r="B9" s="9" t="n">
        <v>26</v>
      </c>
      <c r="C9" s="10" t="inlineStr">
        <is>
          <t>H-501</t>
        </is>
      </c>
      <c r="D9" s="11" t="inlineStr">
        <is>
          <t>PK-16</t>
        </is>
      </c>
      <c r="E9" s="10" t="inlineStr">
        <is>
          <t>Test di agnosticità statico</t>
        </is>
      </c>
      <c r="F9" s="10" t="inlineStr">
        <is>
          <t>**Fase 5, gruppo B.** T-501</t>
        </is>
      </c>
      <c r="G9" s="10" t="inlineStr">
        <is>
          <t>Nessun hook/tool/memoria/`.claude/plans` negli asset</t>
        </is>
      </c>
      <c r="H9" s="10" t="inlineStr">
        <is>
          <t>H-204, H-308</t>
        </is>
      </c>
      <c r="I9" s="9" t="inlineStr">
        <is>
          <t>Da fare</t>
        </is>
      </c>
      <c r="J9" s="9">
        <f>IF(I9="Fatto","✔ Sì","✘ No")</f>
        <v/>
      </c>
      <c r="K9" s="9" t="inlineStr">
        <is>
          <t>NARO</t>
        </is>
      </c>
      <c r="L9" s="9" t="inlineStr"/>
      <c r="M9" s="10" t="inlineStr"/>
      <c r="N9" s="9" t="inlineStr">
        <is>
          <t>—</t>
        </is>
      </c>
      <c r="O9" s="10" t="inlineStr">
        <is>
          <t>—</t>
        </is>
      </c>
      <c r="P9" s="10" t="n"/>
      <c r="Q9" s="10" t="n"/>
      <c r="R9" s="10" t="inlineStr">
        <is>
          <t>Dopo GO</t>
        </is>
      </c>
      <c r="S9" s="12" t="n">
        <v>0</v>
      </c>
      <c r="T9" s="10" t="inlineStr">
        <is>
          <t>T-501</t>
        </is>
      </c>
      <c r="U9" s="10" t="inlineStr">
        <is>
          <t>H-204, H-308</t>
        </is>
      </c>
      <c r="V9" s="10" t="inlineStr">
        <is>
          <t>agents/assets/ (ecc-*), test di agnosticità</t>
        </is>
      </c>
    </row>
    <row r="10" ht="58" customHeight="1">
      <c r="A10" s="9" t="n">
        <v>5</v>
      </c>
      <c r="B10" s="9" t="n">
        <v>27</v>
      </c>
      <c r="C10" s="10" t="inlineStr">
        <is>
          <t>H-502</t>
        </is>
      </c>
      <c r="D10" s="11" t="inlineStr">
        <is>
          <t>PK-16</t>
        </is>
      </c>
      <c r="E10" s="10" t="inlineStr">
        <is>
          <t>Porting per ruolo di rules e skill</t>
        </is>
      </c>
      <c r="F10" s="10" t="inlineStr">
        <is>
          <t>**Fase 5.** T-502</t>
        </is>
      </c>
      <c r="G10" s="10" t="inlineStr">
        <is>
          <t>Asset `ecc-*` con rules per ruolo</t>
        </is>
      </c>
      <c r="H10" s="10" t="inlineStr">
        <is>
          <t>H-204, H-308</t>
        </is>
      </c>
      <c r="I10" s="9" t="inlineStr">
        <is>
          <t>Da fare</t>
        </is>
      </c>
      <c r="J10" s="9">
        <f>IF(I10="Fatto","✔ Sì","✘ No")</f>
        <v/>
      </c>
      <c r="K10" s="9" t="inlineStr">
        <is>
          <t>NARO</t>
        </is>
      </c>
      <c r="L10" s="9" t="inlineStr"/>
      <c r="M10" s="10" t="inlineStr"/>
      <c r="N10" s="9" t="inlineStr">
        <is>
          <t>—</t>
        </is>
      </c>
      <c r="O10" s="10" t="inlineStr">
        <is>
          <t>—</t>
        </is>
      </c>
      <c r="P10" s="10" t="n"/>
      <c r="Q10" s="10" t="n"/>
      <c r="R10" s="10" t="inlineStr">
        <is>
          <t>Dopo GO</t>
        </is>
      </c>
      <c r="S10" s="12" t="n">
        <v>0</v>
      </c>
      <c r="T10" s="10" t="inlineStr">
        <is>
          <t>T-502</t>
        </is>
      </c>
      <c r="U10" s="10" t="inlineStr">
        <is>
          <t>H-204, H-308</t>
        </is>
      </c>
      <c r="V10" s="10" t="inlineStr">
        <is>
          <t>agents/assets/ (ecc-*), test di agnosticità</t>
        </is>
      </c>
    </row>
    <row r="11" ht="58" customHeight="1">
      <c r="A11" s="9" t="n">
        <v>5</v>
      </c>
      <c r="B11" s="9" t="n">
        <v>28</v>
      </c>
      <c r="C11" s="10" t="inlineStr">
        <is>
          <t>H-503</t>
        </is>
      </c>
      <c r="D11" s="11" t="inlineStr">
        <is>
          <t>PK-16</t>
        </is>
      </c>
      <c r="E11" s="10" t="inlineStr">
        <is>
          <t>Nessun file di piano ECC / collisioni</t>
        </is>
      </c>
      <c r="F11" s="10" t="inlineStr">
        <is>
          <t>**Fase 5.** T-503. Recepisce la regola dei planner ECC (consulenti in sola lettura)</t>
        </is>
      </c>
      <c r="G11" s="10" t="inlineStr">
        <is>
          <t>Proposte in `ecosystem/proposals/`, mai in file di piano</t>
        </is>
      </c>
      <c r="H11" s="10" t="inlineStr">
        <is>
          <t>H-204, H-308</t>
        </is>
      </c>
      <c r="I11" s="9" t="inlineStr">
        <is>
          <t>Da fare</t>
        </is>
      </c>
      <c r="J11" s="9">
        <f>IF(I11="Fatto","✔ Sì","✘ No")</f>
        <v/>
      </c>
      <c r="K11" s="9" t="inlineStr">
        <is>
          <t>NARO</t>
        </is>
      </c>
      <c r="L11" s="9" t="inlineStr"/>
      <c r="M11" s="10" t="inlineStr"/>
      <c r="N11" s="9" t="inlineStr">
        <is>
          <t>—</t>
        </is>
      </c>
      <c r="O11" s="10" t="inlineStr">
        <is>
          <t>—</t>
        </is>
      </c>
      <c r="P11" s="10" t="n"/>
      <c r="Q11" s="10" t="n"/>
      <c r="R11" s="10" t="inlineStr">
        <is>
          <t>Dopo GO</t>
        </is>
      </c>
      <c r="S11" s="12" t="n">
        <v>0</v>
      </c>
      <c r="T11" s="10" t="inlineStr">
        <is>
          <t>T-503</t>
        </is>
      </c>
      <c r="U11" s="10" t="inlineStr">
        <is>
          <t>H-204, H-308</t>
        </is>
      </c>
      <c r="V11" s="10" t="inlineStr">
        <is>
          <t>agents/assets/ (ecc-*), test di agnosticità</t>
        </is>
      </c>
    </row>
    <row r="12" ht="58" customHeight="1">
      <c r="A12" s="9" t="n">
        <v>6</v>
      </c>
      <c r="B12" s="9" t="n">
        <v>29</v>
      </c>
      <c r="C12" s="10" t="inlineStr">
        <is>
          <t>H-602</t>
        </is>
      </c>
      <c r="D12" s="11" t="inlineStr">
        <is>
          <t>PK-17</t>
        </is>
      </c>
      <c r="E12" s="10" t="inlineStr">
        <is>
          <t>Ruolo `analyst` (opus)</t>
        </is>
      </c>
      <c r="F12" s="10" t="inlineStr">
        <is>
          <t>**Fase 6, gruppo C.** `agents/plugin/agents/analyst.md`</t>
        </is>
      </c>
      <c r="G12" s="10" t="inlineStr">
        <is>
          <t>Produrre `plan.json`; non inventa requisiti</t>
        </is>
      </c>
      <c r="H12" s="10" t="inlineStr">
        <is>
          <t>gruppo A, H-402</t>
        </is>
      </c>
      <c r="I12" s="9" t="inlineStr">
        <is>
          <t>Da fare</t>
        </is>
      </c>
      <c r="J12" s="9">
        <f>IF(I12="Fatto","✔ Sì","✘ No")</f>
        <v/>
      </c>
      <c r="K12" s="9" t="inlineStr">
        <is>
          <t>SCIBETTA</t>
        </is>
      </c>
      <c r="L12" s="9" t="inlineStr"/>
      <c r="M12" s="10" t="inlineStr"/>
      <c r="N12" s="9" t="inlineStr">
        <is>
          <t>—</t>
        </is>
      </c>
      <c r="O12" s="10" t="inlineStr">
        <is>
          <t>—</t>
        </is>
      </c>
      <c r="P12" s="10" t="n"/>
      <c r="Q12" s="10" t="n"/>
      <c r="R12" s="10" t="inlineStr">
        <is>
          <t>Dopo GO</t>
        </is>
      </c>
      <c r="S12" s="12" t="n">
        <v>0</v>
      </c>
      <c r="T12" s="10" t="inlineStr">
        <is>
          <t>T-601</t>
        </is>
      </c>
      <c r="U12" s="10" t="inlineStr">
        <is>
          <t>H-402 · gruppo A/C come da dipendenze</t>
        </is>
      </c>
      <c r="V12" s="10" t="inlineStr">
        <is>
          <t>agents/plugin/agents/analyst.md</t>
        </is>
      </c>
    </row>
    <row r="13" ht="58" customHeight="1">
      <c r="A13" s="9" t="n">
        <v>6</v>
      </c>
      <c r="B13" s="9" t="n">
        <v>30</v>
      </c>
      <c r="C13" s="10" t="inlineStr">
        <is>
          <t>H-603</t>
        </is>
      </c>
      <c r="D13" s="11" t="inlineStr">
        <is>
          <t>PK-17</t>
        </is>
      </c>
      <c r="E13" s="10" t="inlineStr">
        <is>
          <t>Ruolo `developer` ×N (sonnet)</t>
        </is>
      </c>
      <c r="F13" s="10" t="inlineStr">
        <is>
          <t>**Fase 6.** `developer.md`</t>
        </is>
      </c>
      <c r="G13" s="10" t="inlineStr">
        <is>
          <t>Un task per worktree/ramo, mai build/test/push</t>
        </is>
      </c>
      <c r="H13" s="10" t="inlineStr">
        <is>
          <t>gruppo A, H-402</t>
        </is>
      </c>
      <c r="I13" s="9" t="inlineStr">
        <is>
          <t>Da fare</t>
        </is>
      </c>
      <c r="J13" s="9">
        <f>IF(I13="Fatto","✔ Sì","✘ No")</f>
        <v/>
      </c>
      <c r="K13" s="9" t="inlineStr">
        <is>
          <t>SCIBETTA</t>
        </is>
      </c>
      <c r="L13" s="9" t="inlineStr"/>
      <c r="M13" s="10" t="inlineStr"/>
      <c r="N13" s="9" t="inlineStr">
        <is>
          <t>—</t>
        </is>
      </c>
      <c r="O13" s="10" t="inlineStr">
        <is>
          <t>—</t>
        </is>
      </c>
      <c r="P13" s="10" t="n"/>
      <c r="Q13" s="10" t="n"/>
      <c r="R13" s="10" t="inlineStr">
        <is>
          <t>Dopo GO</t>
        </is>
      </c>
      <c r="S13" s="12" t="n">
        <v>0</v>
      </c>
      <c r="T13" s="10" t="inlineStr">
        <is>
          <t>T-602</t>
        </is>
      </c>
      <c r="U13" s="10" t="inlineStr">
        <is>
          <t>H-402 · gruppo A/C come da dipendenze</t>
        </is>
      </c>
      <c r="V13" s="10" t="inlineStr">
        <is>
          <t>developer.md</t>
        </is>
      </c>
    </row>
    <row r="14" ht="58" customHeight="1">
      <c r="A14" s="9" t="n">
        <v>6</v>
      </c>
      <c r="B14" s="9" t="n">
        <v>31</v>
      </c>
      <c r="C14" s="10" t="inlineStr">
        <is>
          <t>H-604</t>
        </is>
      </c>
      <c r="D14" s="11" t="inlineStr">
        <is>
          <t>PK-17</t>
        </is>
      </c>
      <c r="E14" s="10" t="inlineStr">
        <is>
          <t>Ruolo `tester` ×M (sonnet)</t>
        </is>
      </c>
      <c r="F14" s="10" t="inlineStr">
        <is>
          <t>**Fase 6.** `tester.md`</t>
        </is>
      </c>
      <c r="G14" s="10" t="inlineStr">
        <is>
          <t>Test dal TEST_PLAN senza vedere il diff; mai Graphify</t>
        </is>
      </c>
      <c r="H14" s="10" t="inlineStr">
        <is>
          <t>gruppo A, H-402</t>
        </is>
      </c>
      <c r="I14" s="9" t="inlineStr">
        <is>
          <t>Da fare</t>
        </is>
      </c>
      <c r="J14" s="9">
        <f>IF(I14="Fatto","✔ Sì","✘ No")</f>
        <v/>
      </c>
      <c r="K14" s="9" t="inlineStr">
        <is>
          <t>SCIBETTA</t>
        </is>
      </c>
      <c r="L14" s="9" t="inlineStr"/>
      <c r="M14" s="10" t="inlineStr"/>
      <c r="N14" s="9" t="inlineStr">
        <is>
          <t>—</t>
        </is>
      </c>
      <c r="O14" s="10" t="inlineStr">
        <is>
          <t>—</t>
        </is>
      </c>
      <c r="P14" s="10" t="n"/>
      <c r="Q14" s="10" t="n"/>
      <c r="R14" s="10" t="inlineStr">
        <is>
          <t>Dopo GO</t>
        </is>
      </c>
      <c r="S14" s="12" t="n">
        <v>0</v>
      </c>
      <c r="T14" s="10" t="inlineStr">
        <is>
          <t>T-603</t>
        </is>
      </c>
      <c r="U14" s="10" t="inlineStr">
        <is>
          <t>H-402 · gruppo A/C come da dipendenze</t>
        </is>
      </c>
      <c r="V14" s="10" t="inlineStr">
        <is>
          <t>tester.md</t>
        </is>
      </c>
    </row>
    <row r="15" ht="58" customHeight="1">
      <c r="A15" s="9" t="n">
        <v>6</v>
      </c>
      <c r="B15" s="9" t="n">
        <v>32</v>
      </c>
      <c r="C15" s="10" t="inlineStr">
        <is>
          <t>H-605</t>
        </is>
      </c>
      <c r="D15" s="11" t="inlineStr">
        <is>
          <t>PK-17</t>
        </is>
      </c>
      <c r="E15" s="10" t="inlineStr">
        <is>
          <t>Ruolo `integrator` (sonnet)</t>
        </is>
      </c>
      <c r="F15" s="10" t="inlineStr">
        <is>
          <t>**Fase 6.** `integrator.md`</t>
        </is>
      </c>
      <c r="G15" s="10" t="inlineStr">
        <is>
          <t>Integra su `integration/NNNN`; mai merge su `main`</t>
        </is>
      </c>
      <c r="H15" s="10" t="inlineStr">
        <is>
          <t>gruppo A, H-402</t>
        </is>
      </c>
      <c r="I15" s="9" t="inlineStr">
        <is>
          <t>Da fare</t>
        </is>
      </c>
      <c r="J15" s="9">
        <f>IF(I15="Fatto","✔ Sì","✘ No")</f>
        <v/>
      </c>
      <c r="K15" s="9" t="inlineStr">
        <is>
          <t>SCIBETTA</t>
        </is>
      </c>
      <c r="L15" s="9" t="inlineStr"/>
      <c r="M15" s="10" t="inlineStr"/>
      <c r="N15" s="9" t="inlineStr">
        <is>
          <t>—</t>
        </is>
      </c>
      <c r="O15" s="10" t="inlineStr">
        <is>
          <t>—</t>
        </is>
      </c>
      <c r="P15" s="10" t="n"/>
      <c r="Q15" s="10" t="n"/>
      <c r="R15" s="10" t="inlineStr">
        <is>
          <t>Dopo GO</t>
        </is>
      </c>
      <c r="S15" s="12" t="n">
        <v>0</v>
      </c>
      <c r="T15" s="10" t="inlineStr">
        <is>
          <t>T-604</t>
        </is>
      </c>
      <c r="U15" s="10" t="inlineStr">
        <is>
          <t>H-402 · gruppo A/C come da dipendenze</t>
        </is>
      </c>
      <c r="V15" s="10" t="inlineStr">
        <is>
          <t>integrator.md</t>
        </is>
      </c>
    </row>
    <row r="16" ht="58" customHeight="1">
      <c r="A16" s="9" t="n">
        <v>6</v>
      </c>
      <c r="B16" s="9" t="n">
        <v>33</v>
      </c>
      <c r="C16" s="10" t="inlineStr">
        <is>
          <t>H-606</t>
        </is>
      </c>
      <c r="D16" s="11" t="inlineStr">
        <is>
          <t>PK-18</t>
        </is>
      </c>
      <c r="E16" s="10" t="inlineStr">
        <is>
          <t>Ruolo `test-reader` (haiku)</t>
        </is>
      </c>
      <c r="F16" s="10" t="inlineStr">
        <is>
          <t>**Fase 6.** `test-reader.md`</t>
        </is>
      </c>
      <c r="G16" s="10" t="inlineStr">
        <is>
          <t>Classifica i fallimenti con estratti reali</t>
        </is>
      </c>
      <c r="H16" s="10" t="inlineStr">
        <is>
          <t>gruppo A, H-402</t>
        </is>
      </c>
      <c r="I16" s="9" t="inlineStr">
        <is>
          <t>Da fare</t>
        </is>
      </c>
      <c r="J16" s="9">
        <f>IF(I16="Fatto","✔ Sì","✘ No")</f>
        <v/>
      </c>
      <c r="K16" s="9" t="inlineStr">
        <is>
          <t>NARO</t>
        </is>
      </c>
      <c r="L16" s="9" t="inlineStr"/>
      <c r="M16" s="10" t="inlineStr"/>
      <c r="N16" s="9" t="inlineStr">
        <is>
          <t>—</t>
        </is>
      </c>
      <c r="O16" s="10" t="inlineStr">
        <is>
          <t>—</t>
        </is>
      </c>
      <c r="P16" s="10" t="n"/>
      <c r="Q16" s="10" t="n"/>
      <c r="R16" s="10" t="inlineStr">
        <is>
          <t>Dopo GO</t>
        </is>
      </c>
      <c r="S16" s="12" t="n">
        <v>0</v>
      </c>
      <c r="T16" s="10" t="inlineStr">
        <is>
          <t>T-605</t>
        </is>
      </c>
      <c r="U16" s="10" t="inlineStr">
        <is>
          <t>H-402 · gruppo A/C come da dipendenze</t>
        </is>
      </c>
      <c r="V16" s="10" t="inlineStr">
        <is>
          <t>test-reader.md</t>
        </is>
      </c>
    </row>
    <row r="17" ht="58" customHeight="1">
      <c r="A17" s="9" t="n">
        <v>6</v>
      </c>
      <c r="B17" s="9" t="n">
        <v>34</v>
      </c>
      <c r="C17" s="10" t="inlineStr">
        <is>
          <t>H-607</t>
        </is>
      </c>
      <c r="D17" s="11" t="inlineStr">
        <is>
          <t>PK-18</t>
        </is>
      </c>
      <c r="E17" s="10" t="inlineStr">
        <is>
          <t>Ruolo `reviewer` (opus ≠ developer)</t>
        </is>
      </c>
      <c r="F17" s="10" t="inlineStr">
        <is>
          <t>**Fase 6.** `reviewer.md`</t>
        </is>
      </c>
      <c r="G17" s="10" t="inlineStr">
        <is>
          <t>Findings con severità/file/riga; non corregge</t>
        </is>
      </c>
      <c r="H17" s="10" t="inlineStr">
        <is>
          <t>gruppo A, H-402</t>
        </is>
      </c>
      <c r="I17" s="9" t="inlineStr">
        <is>
          <t>Da fare</t>
        </is>
      </c>
      <c r="J17" s="9">
        <f>IF(I17="Fatto","✔ Sì","✘ No")</f>
        <v/>
      </c>
      <c r="K17" s="9" t="inlineStr">
        <is>
          <t>NARO</t>
        </is>
      </c>
      <c r="L17" s="9" t="inlineStr"/>
      <c r="M17" s="10" t="inlineStr"/>
      <c r="N17" s="9" t="inlineStr">
        <is>
          <t>—</t>
        </is>
      </c>
      <c r="O17" s="10" t="inlineStr">
        <is>
          <t>—</t>
        </is>
      </c>
      <c r="P17" s="10" t="n"/>
      <c r="Q17" s="10" t="n"/>
      <c r="R17" s="10" t="inlineStr">
        <is>
          <t>Dopo GO</t>
        </is>
      </c>
      <c r="S17" s="12" t="n">
        <v>0</v>
      </c>
      <c r="T17" s="10" t="inlineStr">
        <is>
          <t>T-606</t>
        </is>
      </c>
      <c r="U17" s="10" t="inlineStr">
        <is>
          <t>H-402 · gruppo A/C come da dipendenze</t>
        </is>
      </c>
      <c r="V17" s="10" t="inlineStr">
        <is>
          <t>reviewer.md</t>
        </is>
      </c>
    </row>
    <row r="18" ht="58" customHeight="1">
      <c r="A18" s="9" t="n">
        <v>6</v>
      </c>
      <c r="B18" s="9" t="n">
        <v>35</v>
      </c>
      <c r="C18" s="10" t="inlineStr">
        <is>
          <t>H-608</t>
        </is>
      </c>
      <c r="D18" s="11" t="inlineStr">
        <is>
          <t>PK-18</t>
        </is>
      </c>
      <c r="E18" s="10" t="inlineStr">
        <is>
          <t>Ruolo `validator` (opus)</t>
        </is>
      </c>
      <c r="F18" s="10" t="inlineStr">
        <is>
          <t>**Fase 6.** `validator.md`</t>
        </is>
      </c>
      <c r="G18" s="10" t="inlineStr">
        <is>
          <t>conforme/non conforme/non determinabile con evidenze</t>
        </is>
      </c>
      <c r="H18" s="10" t="inlineStr">
        <is>
          <t>gruppo A, H-402</t>
        </is>
      </c>
      <c r="I18" s="9" t="inlineStr">
        <is>
          <t>Da fare</t>
        </is>
      </c>
      <c r="J18" s="9">
        <f>IF(I18="Fatto","✔ Sì","✘ No")</f>
        <v/>
      </c>
      <c r="K18" s="9" t="inlineStr">
        <is>
          <t>NARO</t>
        </is>
      </c>
      <c r="L18" s="9" t="inlineStr"/>
      <c r="M18" s="10" t="inlineStr"/>
      <c r="N18" s="9" t="inlineStr">
        <is>
          <t>—</t>
        </is>
      </c>
      <c r="O18" s="10" t="inlineStr">
        <is>
          <t>—</t>
        </is>
      </c>
      <c r="P18" s="10" t="n"/>
      <c r="Q18" s="10" t="n"/>
      <c r="R18" s="10" t="inlineStr">
        <is>
          <t>Dopo GO</t>
        </is>
      </c>
      <c r="S18" s="12" t="n">
        <v>0</v>
      </c>
      <c r="T18" s="10" t="inlineStr">
        <is>
          <t>T-607</t>
        </is>
      </c>
      <c r="U18" s="10" t="inlineStr">
        <is>
          <t>H-402 · gruppo A/C come da dipendenze</t>
        </is>
      </c>
      <c r="V18" s="10" t="inlineStr">
        <is>
          <t>validator.md</t>
        </is>
      </c>
    </row>
    <row r="19" ht="58" customHeight="1">
      <c r="A19" s="9" t="n">
        <v>6</v>
      </c>
      <c r="B19" s="9" t="n">
        <v>36</v>
      </c>
      <c r="C19" s="10" t="inlineStr">
        <is>
          <t>H-609</t>
        </is>
      </c>
      <c r="D19" s="11" t="inlineStr">
        <is>
          <t>PK-18</t>
        </is>
      </c>
      <c r="E19" s="10" t="inlineStr">
        <is>
          <t>`metrics-observer` + aggregatore</t>
        </is>
      </c>
      <c r="F19" s="10" t="inlineStr">
        <is>
          <t>**Fase 6.** `metrics-observer.md`, `agents/metrics/`</t>
        </is>
      </c>
      <c r="G19" s="10" t="inlineStr">
        <is>
          <t>Interpreta solo metriche già aggregate</t>
        </is>
      </c>
      <c r="H19" s="10" t="inlineStr">
        <is>
          <t>gruppo A, H-402</t>
        </is>
      </c>
      <c r="I19" s="9" t="inlineStr">
        <is>
          <t>Da fare</t>
        </is>
      </c>
      <c r="J19" s="9">
        <f>IF(I19="Fatto","✔ Sì","✘ No")</f>
        <v/>
      </c>
      <c r="K19" s="9" t="inlineStr">
        <is>
          <t>NARO</t>
        </is>
      </c>
      <c r="L19" s="9" t="inlineStr"/>
      <c r="M19" s="10" t="inlineStr"/>
      <c r="N19" s="9" t="inlineStr">
        <is>
          <t>—</t>
        </is>
      </c>
      <c r="O19" s="10" t="inlineStr">
        <is>
          <t>—</t>
        </is>
      </c>
      <c r="P19" s="10" t="n"/>
      <c r="Q19" s="10" t="n"/>
      <c r="R19" s="10" t="inlineStr">
        <is>
          <t>Dopo GO</t>
        </is>
      </c>
      <c r="S19" s="12" t="n">
        <v>0</v>
      </c>
      <c r="T19" s="10" t="inlineStr">
        <is>
          <t>T-608</t>
        </is>
      </c>
      <c r="U19" s="10" t="inlineStr">
        <is>
          <t>H-402 · gruppo A/C come da dipendenze</t>
        </is>
      </c>
      <c r="V19" s="10" t="inlineStr">
        <is>
          <t>metrics-observer.md, agents/metrics/</t>
        </is>
      </c>
    </row>
    <row r="20" ht="58" customHeight="1">
      <c r="A20" s="9" t="n">
        <v>6</v>
      </c>
      <c r="B20" s="9" t="n">
        <v>37</v>
      </c>
      <c r="C20" s="10" t="inlineStr">
        <is>
          <t>H-610</t>
        </is>
      </c>
      <c r="D20" s="11" t="inlineStr">
        <is>
          <t>PK-18</t>
        </is>
      </c>
      <c r="E20" s="10" t="inlineStr">
        <is>
          <t>Ruoli `e2e-designer`/`e2e-reader`</t>
        </is>
      </c>
      <c r="F20" s="10" t="inlineStr">
        <is>
          <t>**Fase 6.** `e2e-*.md`</t>
        </is>
      </c>
      <c r="G20" s="10" t="inlineStr">
        <is>
          <t>E2E Playwright eseguiti dal runner</t>
        </is>
      </c>
      <c r="H20" s="10" t="inlineStr">
        <is>
          <t>gruppo A, H-402</t>
        </is>
      </c>
      <c r="I20" s="9" t="inlineStr">
        <is>
          <t>Da fare</t>
        </is>
      </c>
      <c r="J20" s="9">
        <f>IF(I20="Fatto","✔ Sì","✘ No")</f>
        <v/>
      </c>
      <c r="K20" s="9" t="inlineStr">
        <is>
          <t>NARO</t>
        </is>
      </c>
      <c r="L20" s="9" t="inlineStr"/>
      <c r="M20" s="10" t="inlineStr"/>
      <c r="N20" s="9" t="inlineStr">
        <is>
          <t>—</t>
        </is>
      </c>
      <c r="O20" s="10" t="inlineStr">
        <is>
          <t>—</t>
        </is>
      </c>
      <c r="P20" s="10" t="n"/>
      <c r="Q20" s="10" t="n"/>
      <c r="R20" s="10" t="inlineStr">
        <is>
          <t>Dopo GO</t>
        </is>
      </c>
      <c r="S20" s="12" t="n">
        <v>0</v>
      </c>
      <c r="T20" s="10" t="inlineStr">
        <is>
          <t>T-609</t>
        </is>
      </c>
      <c r="U20" s="10" t="inlineStr">
        <is>
          <t>H-402 · gruppo A/C come da dipendenze</t>
        </is>
      </c>
      <c r="V20" s="10" t="inlineStr">
        <is>
          <t>e2e-*.md</t>
        </is>
      </c>
    </row>
    <row r="21" ht="58" customHeight="1">
      <c r="A21" s="9" t="n">
        <v>6</v>
      </c>
      <c r="B21" s="9" t="n">
        <v>38</v>
      </c>
      <c r="C21" s="10" t="inlineStr">
        <is>
          <t>H-601</t>
        </is>
      </c>
      <c r="D21" s="11" t="inlineStr">
        <is>
          <t>PK-18</t>
        </is>
      </c>
      <c r="E21" s="10" t="inlineStr">
        <is>
          <t>Reviewer specializzati ECC</t>
        </is>
      </c>
      <c r="F21" s="10" t="inlineStr">
        <is>
          <t>**Fase 6.** T-403</t>
        </is>
      </c>
      <c r="G21" s="10" t="inlineStr">
        <is>
          <t>Lenti `ecc-*` riusate con overlay minimo (estende H-607)</t>
        </is>
      </c>
      <c r="H21" s="10" t="inlineStr">
        <is>
          <t>gruppo A, H-402, H-607 [P]</t>
        </is>
      </c>
      <c r="I21" s="9" t="inlineStr">
        <is>
          <t>Da fare</t>
        </is>
      </c>
      <c r="J21" s="9">
        <f>IF(I21="Fatto","✔ Sì","✘ No")</f>
        <v/>
      </c>
      <c r="K21" s="9" t="inlineStr">
        <is>
          <t>NARO</t>
        </is>
      </c>
      <c r="L21" s="9" t="inlineStr"/>
      <c r="M21" s="10" t="inlineStr"/>
      <c r="N21" s="9" t="inlineStr">
        <is>
          <t>—</t>
        </is>
      </c>
      <c r="O21" s="10" t="inlineStr">
        <is>
          <t>—</t>
        </is>
      </c>
      <c r="P21" s="10" t="n"/>
      <c r="Q21" s="10" t="n"/>
      <c r="R21" s="10" t="inlineStr">
        <is>
          <t>Dopo GO</t>
        </is>
      </c>
      <c r="S21" s="12" t="n">
        <v>0</v>
      </c>
      <c r="T21" s="10" t="inlineStr">
        <is>
          <t>T-403</t>
        </is>
      </c>
      <c r="U21" s="10" t="inlineStr">
        <is>
          <t>H-402, H-607 · gruppo A/C come da dipendenze</t>
        </is>
      </c>
      <c r="V21" s="10" t="inlineStr">
        <is>
          <t>agents/plugin/agents/{test-reader,reviewer,validator,metrics-observer,e2e-designer,e2e-reader}.md, agents/metrics/</t>
        </is>
      </c>
    </row>
    <row r="22" ht="58" customHeight="1">
      <c r="A22" s="9" t="n">
        <v>7</v>
      </c>
      <c r="B22" s="9" t="n">
        <v>39</v>
      </c>
      <c r="C22" s="10" t="inlineStr">
        <is>
          <t>H-701</t>
        </is>
      </c>
      <c r="D22" s="11" t="inlineStr">
        <is>
          <t>PK-19</t>
        </is>
      </c>
      <c r="E22" s="10" t="inlineStr">
        <is>
          <t>Workflow `limet-change.js`</t>
        </is>
      </c>
      <c r="F22" s="10" t="inlineStr">
        <is>
          <t>**Fase 7, gruppo D.** T-701</t>
        </is>
      </c>
      <c r="G22" s="10" t="inlineStr">
        <is>
          <t>Struttura, validazione input, stati, retry, stop-e-chiedi</t>
        </is>
      </c>
      <c r="H22" s="10" t="inlineStr">
        <is>
          <t>gruppi A e C, H-407</t>
        </is>
      </c>
      <c r="I22" s="9" t="inlineStr">
        <is>
          <t>Da fare</t>
        </is>
      </c>
      <c r="J22" s="9">
        <f>IF(I22="Fatto","✔ Sì","✘ No")</f>
        <v/>
      </c>
      <c r="K22" s="9" t="inlineStr">
        <is>
          <t>SCIBETTA</t>
        </is>
      </c>
      <c r="L22" s="9" t="inlineStr"/>
      <c r="M22" s="10" t="inlineStr"/>
      <c r="N22" s="9" t="inlineStr">
        <is>
          <t>—</t>
        </is>
      </c>
      <c r="O22" s="10" t="inlineStr">
        <is>
          <t>—</t>
        </is>
      </c>
      <c r="P22" s="10" t="n"/>
      <c r="Q22" s="10" t="n"/>
      <c r="R22" s="10" t="inlineStr">
        <is>
          <t>Dopo GO</t>
        </is>
      </c>
      <c r="S22" s="12" t="n">
        <v>0</v>
      </c>
      <c r="T22" s="10" t="inlineStr">
        <is>
          <t>T-701</t>
        </is>
      </c>
      <c r="U22" s="10" t="inlineStr">
        <is>
          <t>H-407</t>
        </is>
      </c>
      <c r="V22" s="10" t="inlineStr">
        <is>
          <t>agents/plugin/ (limet-change.js, [N] file per onde/gate), agents/policy/</t>
        </is>
      </c>
    </row>
    <row r="23" ht="58" customHeight="1">
      <c r="A23" s="9" t="n">
        <v>7</v>
      </c>
      <c r="B23" s="9" t="n">
        <v>40</v>
      </c>
      <c r="C23" s="10" t="inlineStr">
        <is>
          <t>H-703</t>
        </is>
      </c>
      <c r="D23" s="11" t="inlineStr">
        <is>
          <t>PK-19</t>
        </is>
      </c>
      <c r="E23" s="10" t="inlineStr">
        <is>
          <t>Gate umano sul grafo</t>
        </is>
      </c>
      <c r="F23" s="10" t="inlineStr">
        <is>
          <t>**Fase 7.** T-703</t>
        </is>
      </c>
      <c r="G23" s="10" t="inlineStr">
        <is>
          <t>Conferma di task/onde/stima prima del lancio</t>
        </is>
      </c>
      <c r="H23" s="10" t="inlineStr">
        <is>
          <t>gruppi A e C, H-407</t>
        </is>
      </c>
      <c r="I23" s="9" t="inlineStr">
        <is>
          <t>Da fare</t>
        </is>
      </c>
      <c r="J23" s="9">
        <f>IF(I23="Fatto","✔ Sì","✘ No")</f>
        <v/>
      </c>
      <c r="K23" s="9" t="inlineStr">
        <is>
          <t>SCIBETTA</t>
        </is>
      </c>
      <c r="L23" s="9" t="inlineStr"/>
      <c r="M23" s="10" t="inlineStr"/>
      <c r="N23" s="9" t="inlineStr">
        <is>
          <t>—</t>
        </is>
      </c>
      <c r="O23" s="10" t="inlineStr">
        <is>
          <t>—</t>
        </is>
      </c>
      <c r="P23" s="10" t="n"/>
      <c r="Q23" s="10" t="n"/>
      <c r="R23" s="10" t="inlineStr">
        <is>
          <t>Dopo GO</t>
        </is>
      </c>
      <c r="S23" s="12" t="n">
        <v>0</v>
      </c>
      <c r="T23" s="10" t="inlineStr">
        <is>
          <t>T-703</t>
        </is>
      </c>
      <c r="U23" s="10" t="inlineStr">
        <is>
          <t>H-407</t>
        </is>
      </c>
      <c r="V23" s="10" t="inlineStr">
        <is>
          <t>agents/plugin/ (limet-change.js, [N] file per onde/gate), agents/policy/</t>
        </is>
      </c>
    </row>
    <row r="24" ht="58" customHeight="1">
      <c r="A24" s="9" t="n">
        <v>7</v>
      </c>
      <c r="B24" s="9" t="n">
        <v>41</v>
      </c>
      <c r="C24" s="10" t="inlineStr">
        <is>
          <t>H-704</t>
        </is>
      </c>
      <c r="D24" s="11" t="inlineStr">
        <is>
          <t>PK-19</t>
        </is>
      </c>
      <c r="E24" s="10" t="inlineStr">
        <is>
          <t>Orchestrazione per onde</t>
        </is>
      </c>
      <c r="F24" s="10" t="inlineStr">
        <is>
          <t>**Fase 7.** T-704</t>
        </is>
      </c>
      <c r="G24" s="10" t="inlineStr">
        <is>
          <t>Worktree e rami dedicati, parallelismo entro limiti</t>
        </is>
      </c>
      <c r="H24" s="10" t="inlineStr">
        <is>
          <t>gruppi A e C, H-407</t>
        </is>
      </c>
      <c r="I24" s="9" t="inlineStr">
        <is>
          <t>Da fare</t>
        </is>
      </c>
      <c r="J24" s="9">
        <f>IF(I24="Fatto","✔ Sì","✘ No")</f>
        <v/>
      </c>
      <c r="K24" s="9" t="inlineStr">
        <is>
          <t>SCIBETTA</t>
        </is>
      </c>
      <c r="L24" s="9" t="inlineStr"/>
      <c r="M24" s="10" t="inlineStr"/>
      <c r="N24" s="9" t="inlineStr">
        <is>
          <t>—</t>
        </is>
      </c>
      <c r="O24" s="10" t="inlineStr">
        <is>
          <t>—</t>
        </is>
      </c>
      <c r="P24" s="10" t="n"/>
      <c r="Q24" s="10" t="n"/>
      <c r="R24" s="10" t="inlineStr">
        <is>
          <t>Dopo GO</t>
        </is>
      </c>
      <c r="S24" s="12" t="n">
        <v>0</v>
      </c>
      <c r="T24" s="10" t="inlineStr">
        <is>
          <t>T-704</t>
        </is>
      </c>
      <c r="U24" s="10" t="inlineStr">
        <is>
          <t>H-407</t>
        </is>
      </c>
      <c r="V24" s="10" t="inlineStr">
        <is>
          <t>agents/plugin/ (limet-change.js, [N] file per onde/gate), agents/policy/</t>
        </is>
      </c>
    </row>
    <row r="25" ht="58" customHeight="1">
      <c r="A25" s="9" t="n">
        <v>7</v>
      </c>
      <c r="B25" s="9" t="n">
        <v>42</v>
      </c>
      <c r="C25" s="10" t="inlineStr">
        <is>
          <t>H-705</t>
        </is>
      </c>
      <c r="D25" s="11" t="inlineStr">
        <is>
          <t>PK-19</t>
        </is>
      </c>
      <c r="E25" s="10" t="inlineStr">
        <is>
          <t>Integrazione su SHA verde</t>
        </is>
      </c>
      <c r="F25" s="10" t="inlineStr">
        <is>
          <t>**Fase 7.** T-705</t>
        </is>
      </c>
      <c r="G25" s="10" t="inlineStr">
        <is>
          <t>Avanza solo con run runner sullo stesso SHA</t>
        </is>
      </c>
      <c r="H25" s="10" t="inlineStr">
        <is>
          <t>gruppi A e C, H-407</t>
        </is>
      </c>
      <c r="I25" s="9" t="inlineStr">
        <is>
          <t>Da fare</t>
        </is>
      </c>
      <c r="J25" s="9">
        <f>IF(I25="Fatto","✔ Sì","✘ No")</f>
        <v/>
      </c>
      <c r="K25" s="9" t="inlineStr">
        <is>
          <t>SCIBETTA</t>
        </is>
      </c>
      <c r="L25" s="9" t="inlineStr"/>
      <c r="M25" s="10" t="inlineStr"/>
      <c r="N25" s="9" t="inlineStr">
        <is>
          <t>—</t>
        </is>
      </c>
      <c r="O25" s="10" t="inlineStr">
        <is>
          <t>—</t>
        </is>
      </c>
      <c r="P25" s="10" t="n"/>
      <c r="Q25" s="10" t="n"/>
      <c r="R25" s="10" t="inlineStr">
        <is>
          <t>Dopo GO</t>
        </is>
      </c>
      <c r="S25" s="12" t="n">
        <v>0</v>
      </c>
      <c r="T25" s="10" t="inlineStr">
        <is>
          <t>T-705</t>
        </is>
      </c>
      <c r="U25" s="10" t="inlineStr">
        <is>
          <t>H-407</t>
        </is>
      </c>
      <c r="V25" s="10" t="inlineStr">
        <is>
          <t>agents/plugin/ (limet-change.js, [N] file per onde/gate), agents/policy/</t>
        </is>
      </c>
    </row>
    <row r="26" ht="58" customHeight="1">
      <c r="A26" s="9" t="n">
        <v>7</v>
      </c>
      <c r="B26" s="9" t="n">
        <v>43</v>
      </c>
      <c r="C26" s="10" t="inlineStr">
        <is>
          <t>H-707</t>
        </is>
      </c>
      <c r="D26" s="11" t="inlineStr">
        <is>
          <t>PK-19</t>
        </is>
      </c>
      <c r="E26" s="10" t="inlineStr">
        <is>
          <t>«Fermati e chiedi» non globale</t>
        </is>
      </c>
      <c r="F26" s="10" t="inlineStr">
        <is>
          <t>**Fase 7.** T-707</t>
        </is>
      </c>
      <c r="G26" s="10" t="inlineStr">
        <is>
          <t>Blocca solo i dipendenti; `QUESTIONS.md`; maxAttempts 3</t>
        </is>
      </c>
      <c r="H26" s="10" t="inlineStr">
        <is>
          <t>gruppi A e C, H-407</t>
        </is>
      </c>
      <c r="I26" s="9" t="inlineStr">
        <is>
          <t>Da fare</t>
        </is>
      </c>
      <c r="J26" s="9">
        <f>IF(I26="Fatto","✔ Sì","✘ No")</f>
        <v/>
      </c>
      <c r="K26" s="9" t="inlineStr">
        <is>
          <t>SCIBETTA</t>
        </is>
      </c>
      <c r="L26" s="9" t="inlineStr"/>
      <c r="M26" s="10" t="inlineStr"/>
      <c r="N26" s="9" t="inlineStr">
        <is>
          <t>—</t>
        </is>
      </c>
      <c r="O26" s="10" t="inlineStr">
        <is>
          <t>—</t>
        </is>
      </c>
      <c r="P26" s="10" t="n"/>
      <c r="Q26" s="10" t="n"/>
      <c r="R26" s="10" t="inlineStr">
        <is>
          <t>Dopo GO</t>
        </is>
      </c>
      <c r="S26" s="12" t="n">
        <v>0</v>
      </c>
      <c r="T26" s="10" t="inlineStr">
        <is>
          <t>T-707</t>
        </is>
      </c>
      <c r="U26" s="10" t="inlineStr">
        <is>
          <t>H-407</t>
        </is>
      </c>
      <c r="V26" s="10" t="inlineStr">
        <is>
          <t>agents/plugin/ (limet-change.js, [N] file per onde/gate), agents/policy/</t>
        </is>
      </c>
    </row>
    <row r="27" ht="58" customHeight="1">
      <c r="A27" s="9" t="n">
        <v>7</v>
      </c>
      <c r="B27" s="9" t="n">
        <v>44</v>
      </c>
      <c r="C27" s="10" t="inlineStr">
        <is>
          <t>H-708</t>
        </is>
      </c>
      <c r="D27" s="11" t="inlineStr">
        <is>
          <t>PK-19</t>
        </is>
      </c>
      <c r="E27" s="10" t="inlineStr">
        <is>
          <t>Budget, checkpoint, ripresa</t>
        </is>
      </c>
      <c r="F27" s="10" t="inlineStr">
        <is>
          <t>**Fase 7.** T-708</t>
        </is>
      </c>
      <c r="G27" s="10" t="inlineStr">
        <is>
          <t>Stop controllato e `resumeFromRunId`</t>
        </is>
      </c>
      <c r="H27" s="10" t="inlineStr">
        <is>
          <t>gruppi A e C, H-407</t>
        </is>
      </c>
      <c r="I27" s="9" t="inlineStr">
        <is>
          <t>Da fare</t>
        </is>
      </c>
      <c r="J27" s="9">
        <f>IF(I27="Fatto","✔ Sì","✘ No")</f>
        <v/>
      </c>
      <c r="K27" s="9" t="inlineStr">
        <is>
          <t>SCIBETTA</t>
        </is>
      </c>
      <c r="L27" s="9" t="inlineStr"/>
      <c r="M27" s="10" t="inlineStr"/>
      <c r="N27" s="9" t="inlineStr">
        <is>
          <t>—</t>
        </is>
      </c>
      <c r="O27" s="10" t="inlineStr">
        <is>
          <t>—</t>
        </is>
      </c>
      <c r="P27" s="10" t="n"/>
      <c r="Q27" s="10" t="n"/>
      <c r="R27" s="10" t="inlineStr">
        <is>
          <t>Dopo GO</t>
        </is>
      </c>
      <c r="S27" s="12" t="n">
        <v>0</v>
      </c>
      <c r="T27" s="10" t="inlineStr">
        <is>
          <t>T-708</t>
        </is>
      </c>
      <c r="U27" s="10" t="inlineStr">
        <is>
          <t>H-407</t>
        </is>
      </c>
      <c r="V27" s="10" t="inlineStr">
        <is>
          <t>agents/plugin/ (limet-change.js, [N] file per onde/gate), agents/policy/</t>
        </is>
      </c>
    </row>
    <row r="28" ht="58" customHeight="1">
      <c r="A28" s="9" t="n">
        <v>7</v>
      </c>
      <c r="B28" s="9" t="n">
        <v>45</v>
      </c>
      <c r="C28" s="10" t="inlineStr">
        <is>
          <t>H-710</t>
        </is>
      </c>
      <c r="D28" s="11" t="inlineStr">
        <is>
          <t>PK-19</t>
        </is>
      </c>
      <c r="E28" s="10" t="inlineStr">
        <is>
          <t>Permessi a livello di tool</t>
        </is>
      </c>
      <c r="F28" s="10" t="inlineStr">
        <is>
          <t>**Fase 7.** T-710</t>
        </is>
      </c>
      <c r="G28" s="10" t="inlineStr">
        <is>
          <t>`deny` su mvnw/push/merge, hook di log propri (estende H-404)</t>
        </is>
      </c>
      <c r="H28" s="10" t="inlineStr">
        <is>
          <t>gruppi A e C, H-407</t>
        </is>
      </c>
      <c r="I28" s="9" t="inlineStr">
        <is>
          <t>Da fare</t>
        </is>
      </c>
      <c r="J28" s="9">
        <f>IF(I28="Fatto","✔ Sì","✘ No")</f>
        <v/>
      </c>
      <c r="K28" s="9" t="inlineStr">
        <is>
          <t>SCIBETTA</t>
        </is>
      </c>
      <c r="L28" s="9" t="inlineStr"/>
      <c r="M28" s="10" t="inlineStr"/>
      <c r="N28" s="9" t="inlineStr">
        <is>
          <t>—</t>
        </is>
      </c>
      <c r="O28" s="10" t="inlineStr">
        <is>
          <t>—</t>
        </is>
      </c>
      <c r="P28" s="10" t="n"/>
      <c r="Q28" s="10" t="n"/>
      <c r="R28" s="10" t="inlineStr">
        <is>
          <t>Dopo GO</t>
        </is>
      </c>
      <c r="S28" s="12" t="n">
        <v>0</v>
      </c>
      <c r="T28" s="10" t="inlineStr">
        <is>
          <t>T-710</t>
        </is>
      </c>
      <c r="U28" s="10" t="inlineStr">
        <is>
          <t>H-407</t>
        </is>
      </c>
      <c r="V28" s="10" t="inlineStr">
        <is>
          <t>agents/plugin/ (limet-change.js, [N] file per onde/gate), agents/policy/</t>
        </is>
      </c>
    </row>
    <row r="29" ht="58" customHeight="1">
      <c r="A29" s="9" t="n">
        <v>7</v>
      </c>
      <c r="B29" s="9" t="n">
        <v>46</v>
      </c>
      <c r="C29" s="10" t="inlineStr">
        <is>
          <t>H-706</t>
        </is>
      </c>
      <c r="D29" s="11" t="inlineStr">
        <is>
          <t>PK-20</t>
        </is>
      </c>
      <c r="E29" s="10" t="inlineStr">
        <is>
          <t>Stato ed eventi</t>
        </is>
      </c>
      <c r="F29" s="10" t="inlineStr">
        <is>
          <t>**Fase 7.** T-706</t>
        </is>
      </c>
      <c r="G29" s="10" t="inlineStr">
        <is>
          <t>`state.json`/`events.jsonl`, `STALE` dopo merge</t>
        </is>
      </c>
      <c r="H29" s="10" t="inlineStr">
        <is>
          <t>gruppi A e C, H-407</t>
        </is>
      </c>
      <c r="I29" s="9" t="inlineStr">
        <is>
          <t>Da fare</t>
        </is>
      </c>
      <c r="J29" s="9">
        <f>IF(I29="Fatto","✔ Sì","✘ No")</f>
        <v/>
      </c>
      <c r="K29" s="9" t="inlineStr">
        <is>
          <t>NARO</t>
        </is>
      </c>
      <c r="L29" s="9" t="inlineStr"/>
      <c r="M29" s="10" t="inlineStr"/>
      <c r="N29" s="9" t="inlineStr">
        <is>
          <t>—</t>
        </is>
      </c>
      <c r="O29" s="10" t="inlineStr">
        <is>
          <t>—</t>
        </is>
      </c>
      <c r="P29" s="10" t="n"/>
      <c r="Q29" s="10" t="n"/>
      <c r="R29" s="10" t="inlineStr">
        <is>
          <t>Dopo GO</t>
        </is>
      </c>
      <c r="S29" s="12" t="n">
        <v>0</v>
      </c>
      <c r="T29" s="10" t="inlineStr">
        <is>
          <t>T-706</t>
        </is>
      </c>
      <c r="U29" s="10" t="inlineStr">
        <is>
          <t>H-407</t>
        </is>
      </c>
      <c r="V29" s="10" t="inlineStr">
        <is>
          <t>[N] file di stato, report e gate di merge (da fissare in H-308/H-701)</t>
        </is>
      </c>
    </row>
    <row r="30" ht="58" customHeight="1">
      <c r="A30" s="9" t="n">
        <v>7</v>
      </c>
      <c r="B30" s="9" t="n">
        <v>47</v>
      </c>
      <c r="C30" s="10" t="inlineStr">
        <is>
          <t>H-709</t>
        </is>
      </c>
      <c r="D30" s="11" t="inlineStr">
        <is>
          <t>PK-20</t>
        </is>
      </c>
      <c r="E30" s="10" t="inlineStr">
        <is>
          <t>Report notturno/conformità/finale</t>
        </is>
      </c>
      <c r="F30" s="10" t="inlineStr">
        <is>
          <t>**Fase 7.** T-709</t>
        </is>
      </c>
      <c r="G30" s="10" t="inlineStr">
        <is>
          <t>Mai «completato» se incompleto; sezione rischi H-612</t>
        </is>
      </c>
      <c r="H30" s="10" t="inlineStr">
        <is>
          <t>gruppi A e C, H-407</t>
        </is>
      </c>
      <c r="I30" s="9" t="inlineStr">
        <is>
          <t>Da fare</t>
        </is>
      </c>
      <c r="J30" s="9">
        <f>IF(I30="Fatto","✔ Sì","✘ No")</f>
        <v/>
      </c>
      <c r="K30" s="9" t="inlineStr">
        <is>
          <t>NARO</t>
        </is>
      </c>
      <c r="L30" s="9" t="inlineStr"/>
      <c r="M30" s="10" t="inlineStr"/>
      <c r="N30" s="9" t="inlineStr">
        <is>
          <t>—</t>
        </is>
      </c>
      <c r="O30" s="10" t="inlineStr">
        <is>
          <t>—</t>
        </is>
      </c>
      <c r="P30" s="10" t="n"/>
      <c r="Q30" s="10" t="n"/>
      <c r="R30" s="10" t="inlineStr">
        <is>
          <t>Dopo GO</t>
        </is>
      </c>
      <c r="S30" s="12" t="n">
        <v>0</v>
      </c>
      <c r="T30" s="10" t="inlineStr">
        <is>
          <t>T-709</t>
        </is>
      </c>
      <c r="U30" s="10" t="inlineStr">
        <is>
          <t>H-407</t>
        </is>
      </c>
      <c r="V30" s="10" t="inlineStr">
        <is>
          <t>[N] file di stato, report e gate di merge (da fissare in H-308/H-701)</t>
        </is>
      </c>
    </row>
    <row r="31" ht="58" customHeight="1">
      <c r="A31" s="9" t="n">
        <v>7</v>
      </c>
      <c r="B31" s="9" t="n">
        <v>48</v>
      </c>
      <c r="C31" s="10" t="inlineStr">
        <is>
          <t>H-711</t>
        </is>
      </c>
      <c r="D31" s="11" t="inlineStr">
        <is>
          <t>PK-20</t>
        </is>
      </c>
      <c r="E31" s="10" t="inlineStr">
        <is>
          <t>Gate di merge R13 + bug-fix R15</t>
        </is>
      </c>
      <c r="F31" s="10" t="inlineStr">
        <is>
          <t>**Fase 7.** T-711</t>
        </is>
      </c>
      <c r="G31" s="10" t="inlineStr">
        <is>
          <t>Merge solo con tutti i gate; regressione fallisce prima del fix</t>
        </is>
      </c>
      <c r="H31" s="10" t="inlineStr">
        <is>
          <t>gruppi A e C, H-407</t>
        </is>
      </c>
      <c r="I31" s="9" t="inlineStr">
        <is>
          <t>Da fare</t>
        </is>
      </c>
      <c r="J31" s="9">
        <f>IF(I31="Fatto","✔ Sì","✘ No")</f>
        <v/>
      </c>
      <c r="K31" s="9" t="inlineStr">
        <is>
          <t>NARO</t>
        </is>
      </c>
      <c r="L31" s="9" t="inlineStr"/>
      <c r="M31" s="10" t="inlineStr"/>
      <c r="N31" s="9" t="inlineStr">
        <is>
          <t>—</t>
        </is>
      </c>
      <c r="O31" s="10" t="inlineStr">
        <is>
          <t>—</t>
        </is>
      </c>
      <c r="P31" s="10" t="n"/>
      <c r="Q31" s="10" t="n"/>
      <c r="R31" s="10" t="inlineStr">
        <is>
          <t>Dopo GO</t>
        </is>
      </c>
      <c r="S31" s="12" t="n">
        <v>0</v>
      </c>
      <c r="T31" s="10" t="inlineStr">
        <is>
          <t>T-711</t>
        </is>
      </c>
      <c r="U31" s="10" t="inlineStr">
        <is>
          <t>H-407</t>
        </is>
      </c>
      <c r="V31" s="10" t="inlineStr">
        <is>
          <t>[N] file di stato, report e gate di merge (da fissare in H-308/H-701)</t>
        </is>
      </c>
    </row>
    <row r="32" ht="58" customHeight="1">
      <c r="A32" s="9" t="n">
        <v>6</v>
      </c>
      <c r="B32" s="9" t="n">
        <v>49</v>
      </c>
      <c r="C32" s="10" t="inlineStr">
        <is>
          <t>H-612</t>
        </is>
      </c>
      <c r="D32" s="11" t="inlineStr">
        <is>
          <t>PK-21</t>
        </is>
      </c>
      <c r="E32" s="10" t="inlineStr">
        <is>
          <t>Valutazione rischi post-task (prodotto)</t>
        </is>
      </c>
      <c r="F32" s="10" t="inlineStr">
        <is>
          <t>**Fase 6, gruppo E.** T-611</t>
        </is>
      </c>
      <c r="G32" s="10" t="inlineStr">
        <is>
          <t>`risk-assessor` al passaggio a VERIFIED (C28), `RISK-&lt;task&gt;.json` + `QUESTIONS.md`</t>
        </is>
      </c>
      <c r="H32" s="10" t="inlineStr">
        <is>
          <t>H-308, H-701, H-706</t>
        </is>
      </c>
      <c r="I32" s="9" t="inlineStr">
        <is>
          <t>Da fare</t>
        </is>
      </c>
      <c r="J32" s="9">
        <f>IF(I32="Fatto","✔ Sì","✘ No")</f>
        <v/>
      </c>
      <c r="K32" s="9" t="inlineStr">
        <is>
          <t>NARO</t>
        </is>
      </c>
      <c r="L32" s="9" t="inlineStr"/>
      <c r="M32" s="10" t="inlineStr"/>
      <c r="N32" s="9" t="inlineStr">
        <is>
          <t>—</t>
        </is>
      </c>
      <c r="O32" s="10" t="inlineStr">
        <is>
          <t>—</t>
        </is>
      </c>
      <c r="P32" s="10" t="n"/>
      <c r="Q32" s="10" t="n"/>
      <c r="R32" s="10" t="inlineStr">
        <is>
          <t>Dopo GO</t>
        </is>
      </c>
      <c r="S32" s="12" t="n">
        <v>0</v>
      </c>
      <c r="T32" s="10" t="inlineStr">
        <is>
          <t>T-611</t>
        </is>
      </c>
      <c r="U32" s="10" t="inlineStr">
        <is>
          <t>H-308, H-701, H-706</t>
        </is>
      </c>
      <c r="V32" s="10" t="inlineStr">
        <is>
          <t>agents/plugin/agents/risk-assessor.md, RISK-&lt;task&gt;.json</t>
        </is>
      </c>
    </row>
    <row r="33" ht="58" customHeight="1">
      <c r="A33" s="9" t="n">
        <v>7</v>
      </c>
      <c r="B33" s="9" t="n">
        <v>50</v>
      </c>
      <c r="C33" s="10" t="inlineStr">
        <is>
          <t>H-702</t>
        </is>
      </c>
      <c r="D33" s="11" t="inlineStr">
        <is>
          <t>PK-22</t>
        </is>
      </c>
      <c r="E33" s="10" t="inlineStr">
        <is>
          <t>Installer `limet-agents.ps1/.sh`</t>
        </is>
      </c>
      <c r="F33" s="10" t="inlineStr">
        <is>
          <t>**Fase 7.** T-702</t>
        </is>
      </c>
      <c r="G33" s="10" t="inlineStr">
        <is>
          <t>`init|update` idempotente, plugin facoltativo</t>
        </is>
      </c>
      <c r="H33" s="10" t="inlineStr">
        <is>
          <t>gruppi A e C, H-407</t>
        </is>
      </c>
      <c r="I33" s="9" t="inlineStr">
        <is>
          <t>Da fare</t>
        </is>
      </c>
      <c r="J33" s="9">
        <f>IF(I33="Fatto","✔ Sì","✘ No")</f>
        <v/>
      </c>
      <c r="K33" s="9" t="inlineStr">
        <is>
          <t>NARO</t>
        </is>
      </c>
      <c r="L33" s="9" t="inlineStr"/>
      <c r="M33" s="10" t="inlineStr"/>
      <c r="N33" s="9" t="inlineStr">
        <is>
          <t>—</t>
        </is>
      </c>
      <c r="O33" s="10" t="inlineStr">
        <is>
          <t>—</t>
        </is>
      </c>
      <c r="P33" s="10" t="n"/>
      <c r="Q33" s="10" t="n"/>
      <c r="R33" s="10" t="inlineStr">
        <is>
          <t>Dopo GO</t>
        </is>
      </c>
      <c r="S33" s="12" t="n">
        <v>0</v>
      </c>
      <c r="T33" s="10" t="inlineStr">
        <is>
          <t>T-702</t>
        </is>
      </c>
      <c r="U33" s="10" t="inlineStr">
        <is>
          <t>H-407</t>
        </is>
      </c>
      <c r="V33" s="10" t="inlineStr">
        <is>
          <t>scripts/limet-agents.ps1/.sh, limet/ (documentazione) [P]</t>
        </is>
      </c>
    </row>
    <row r="34" ht="58" customHeight="1">
      <c r="A34" s="9" t="n">
        <v>7</v>
      </c>
      <c r="B34" s="9" t="n">
        <v>51</v>
      </c>
      <c r="C34" s="10" t="inlineStr">
        <is>
          <t>H-712</t>
        </is>
      </c>
      <c r="D34" s="11" t="inlineStr">
        <is>
          <t>PK-22</t>
        </is>
      </c>
      <c r="E34" s="10" t="inlineStr">
        <is>
          <t>Modifiche documentali a LIMET M.1–M.9</t>
        </is>
      </c>
      <c r="F34" s="10" t="inlineStr">
        <is>
          <t>**Fase 7, gruppo F.** T-712</t>
        </is>
      </c>
      <c r="G34" s="10" t="inlineStr">
        <is>
          <t>Ciclo LIMET IT/EN; re-index a cura dell'utente</t>
        </is>
      </c>
      <c r="H34" s="10" t="inlineStr">
        <is>
          <t>nessuna in IN; **[P]** dopo H-407 (ALA §7)</t>
        </is>
      </c>
      <c r="I34" s="9" t="inlineStr">
        <is>
          <t>Da fare</t>
        </is>
      </c>
      <c r="J34" s="9">
        <f>IF(I34="Fatto","✔ Sì","✘ No")</f>
        <v/>
      </c>
      <c r="K34" s="9" t="inlineStr">
        <is>
          <t>NARO</t>
        </is>
      </c>
      <c r="L34" s="9" t="inlineStr"/>
      <c r="M34" s="10" t="inlineStr"/>
      <c r="N34" s="9" t="inlineStr">
        <is>
          <t>—</t>
        </is>
      </c>
      <c r="O34" s="10" t="inlineStr">
        <is>
          <t>—</t>
        </is>
      </c>
      <c r="P34" s="10" t="n"/>
      <c r="Q34" s="10" t="n"/>
      <c r="R34" s="10" t="inlineStr">
        <is>
          <t>Dopo GO</t>
        </is>
      </c>
      <c r="S34" s="12" t="n">
        <v>0</v>
      </c>
      <c r="T34" s="10" t="inlineStr">
        <is>
          <t>T-712</t>
        </is>
      </c>
      <c r="U34" s="10" t="inlineStr">
        <is>
          <t>H-407</t>
        </is>
      </c>
      <c r="V34" s="10" t="inlineStr">
        <is>
          <t>scripts/limet-agents.ps1/.sh, limet/ (documentazione) [P]</t>
        </is>
      </c>
    </row>
    <row r="35" ht="58" customHeight="1">
      <c r="A35" s="9" t="n">
        <v>8</v>
      </c>
      <c r="B35" s="9" t="n">
        <v>52</v>
      </c>
      <c r="C35" s="10" t="inlineStr">
        <is>
          <t>H-800</t>
        </is>
      </c>
      <c r="D35" s="11" t="inlineStr">
        <is>
          <t>PK-23</t>
        </is>
      </c>
      <c r="E35" s="10" t="inlineStr">
        <is>
          <t>Analisi degli hook ECC</t>
        </is>
      </c>
      <c r="F35" s="10" t="inlineStr">
        <is>
          <t>**Fase 8.** `docs/ecc-hooks-analysis.md`</t>
        </is>
      </c>
      <c r="G35" s="10" t="inlineStr">
        <is>
          <t>Decisione motivata per ognuno dei 27 hook</t>
        </is>
      </c>
      <c r="H35" s="10" t="inlineStr">
        <is>
          <t>H-401 [P]; anticipabile in Fase 2 (IN §5)</t>
        </is>
      </c>
      <c r="I35" s="9" t="inlineStr">
        <is>
          <t>Da fare</t>
        </is>
      </c>
      <c r="J35" s="9">
        <f>IF(I35="Fatto","✔ Sì","✘ No")</f>
        <v/>
      </c>
      <c r="K35" s="9" t="inlineStr">
        <is>
          <t>SCIBETTA</t>
        </is>
      </c>
      <c r="L35" s="9" t="inlineStr"/>
      <c r="M35" s="10" t="inlineStr"/>
      <c r="N35" s="9" t="inlineStr">
        <is>
          <t>—</t>
        </is>
      </c>
      <c r="O35" s="10" t="inlineStr">
        <is>
          <t>—</t>
        </is>
      </c>
      <c r="P35" s="10" t="n"/>
      <c r="Q35" s="10" t="n"/>
      <c r="R35" s="10" t="inlineStr">
        <is>
          <t>Dopo GO (o anticipo)</t>
        </is>
      </c>
      <c r="S35" s="12" t="n">
        <v>0</v>
      </c>
      <c r="T35" s="10" t="inlineStr">
        <is>
          <t>—</t>
        </is>
      </c>
      <c r="U35" s="10" t="inlineStr">
        <is>
          <t>H-401</t>
        </is>
      </c>
      <c r="V35" s="10" t="inlineStr">
        <is>
          <t>docs/ecc-hooks-analysis.md</t>
        </is>
      </c>
    </row>
    <row r="36" ht="58" customHeight="1">
      <c r="A36" s="9" t="n">
        <v>8</v>
      </c>
      <c r="B36" s="9" t="n">
        <v>53</v>
      </c>
      <c r="C36" s="10" t="inlineStr">
        <is>
          <t>H-800b</t>
        </is>
      </c>
      <c r="D36" s="11" t="inlineStr">
        <is>
          <t>PK-23</t>
        </is>
      </c>
      <c r="E36" s="10" t="inlineStr">
        <is>
          <t>Replica sicura hook utili</t>
        </is>
      </c>
      <c r="F36" s="10" t="inlineStr">
        <is>
          <t>**Fase 8.** Test: da definire per hook replicato **[N]** (nessun T-xxx in IN §6)</t>
        </is>
      </c>
      <c r="G36" s="10" t="inlineStr">
        <is>
          <t>Hook HELIOS propri, mai codice ECC eseguito</t>
        </is>
      </c>
      <c r="H36" s="10" t="inlineStr">
        <is>
          <t>H-800</t>
        </is>
      </c>
      <c r="I36" s="9" t="inlineStr">
        <is>
          <t>Da fare</t>
        </is>
      </c>
      <c r="J36" s="9">
        <f>IF(I36="Fatto","✔ Sì","✘ No")</f>
        <v/>
      </c>
      <c r="K36" s="9" t="inlineStr">
        <is>
          <t>SCIBETTA</t>
        </is>
      </c>
      <c r="L36" s="9" t="inlineStr"/>
      <c r="M36" s="10" t="inlineStr"/>
      <c r="N36" s="9" t="inlineStr">
        <is>
          <t>—</t>
        </is>
      </c>
      <c r="O36" s="10" t="inlineStr">
        <is>
          <t>—</t>
        </is>
      </c>
      <c r="P36" s="10" t="n"/>
      <c r="Q36" s="10" t="n"/>
      <c r="R36" s="10" t="inlineStr">
        <is>
          <t>Dopo GO</t>
        </is>
      </c>
      <c r="S36" s="12" t="n">
        <v>0</v>
      </c>
      <c r="T36" s="10" t="inlineStr">
        <is>
          <t>—</t>
        </is>
      </c>
      <c r="U36" s="10" t="inlineStr">
        <is>
          <t>H-800</t>
        </is>
      </c>
      <c r="V36" s="10" t="inlineStr">
        <is>
          <t>docs/ecc-hooks-analysis.md, agents/policy/llm-registry.json, [N] wrapper AgentShield</t>
        </is>
      </c>
    </row>
    <row r="37" ht="58" customHeight="1">
      <c r="A37" s="9" t="n">
        <v>8</v>
      </c>
      <c r="B37" s="9" t="n">
        <v>54</v>
      </c>
      <c r="C37" s="10" t="inlineStr">
        <is>
          <t>H-801</t>
        </is>
      </c>
      <c r="D37" s="11" t="inlineStr">
        <is>
          <t>PK-23</t>
        </is>
      </c>
      <c r="E37" s="10" t="inlineStr">
        <is>
          <t>Registro chiamate LLM (C05)</t>
        </is>
      </c>
      <c r="F37" s="10" t="inlineStr">
        <is>
          <t>**Fase 8.** `agents/policy/llm-registry.json`</t>
        </is>
      </c>
      <c r="G37" s="10" t="inlineStr">
        <is>
          <t>Ogni chiamata LLM extra registrata</t>
        </is>
      </c>
      <c r="H37" s="10" t="inlineStr">
        <is>
          <t>H-401 [P]</t>
        </is>
      </c>
      <c r="I37" s="9" t="inlineStr">
        <is>
          <t>Da fare</t>
        </is>
      </c>
      <c r="J37" s="9">
        <f>IF(I37="Fatto","✔ Sì","✘ No")</f>
        <v/>
      </c>
      <c r="K37" s="9" t="inlineStr">
        <is>
          <t>SCIBETTA</t>
        </is>
      </c>
      <c r="L37" s="9" t="inlineStr"/>
      <c r="M37" s="10" t="inlineStr"/>
      <c r="N37" s="9" t="inlineStr">
        <is>
          <t>—</t>
        </is>
      </c>
      <c r="O37" s="10" t="inlineStr">
        <is>
          <t>—</t>
        </is>
      </c>
      <c r="P37" s="10" t="n"/>
      <c r="Q37" s="10" t="n"/>
      <c r="R37" s="10" t="inlineStr">
        <is>
          <t>Dopo GO</t>
        </is>
      </c>
      <c r="S37" s="12" t="n">
        <v>0</v>
      </c>
      <c r="T37" s="10" t="inlineStr">
        <is>
          <t>T-801</t>
        </is>
      </c>
      <c r="U37" s="10" t="inlineStr">
        <is>
          <t>H-401</t>
        </is>
      </c>
      <c r="V37" s="10" t="inlineStr">
        <is>
          <t>agents/policy/llm-registry.json</t>
        </is>
      </c>
    </row>
    <row r="38" ht="58" customHeight="1">
      <c r="A38" s="9" t="n">
        <v>8</v>
      </c>
      <c r="B38" s="9" t="n">
        <v>55</v>
      </c>
      <c r="C38" s="10" t="inlineStr">
        <is>
          <t>H-802</t>
        </is>
      </c>
      <c r="D38" s="11" t="inlineStr">
        <is>
          <t>PK-23</t>
        </is>
      </c>
      <c r="E38" s="10" t="inlineStr">
        <is>
          <t>Wrapper AgentShield</t>
        </is>
      </c>
      <c r="F38" s="10" t="inlineStr">
        <is>
          <t>**Fase 8.** T-802. **[N]** licenze delle dipendenze (Q-10)</t>
        </is>
      </c>
      <c r="G38" s="10" t="inlineStr">
        <is>
          <t>Pin, hash, SBOM, senza rete/`--opus`</t>
        </is>
      </c>
      <c r="H38" s="10" t="inlineStr">
        <is>
          <t>H-401 [P]</t>
        </is>
      </c>
      <c r="I38" s="9" t="inlineStr">
        <is>
          <t>Da fare</t>
        </is>
      </c>
      <c r="J38" s="9">
        <f>IF(I38="Fatto","✔ Sì","✘ No")</f>
        <v/>
      </c>
      <c r="K38" s="9" t="inlineStr">
        <is>
          <t>SCIBETTA</t>
        </is>
      </c>
      <c r="L38" s="9" t="inlineStr"/>
      <c r="M38" s="10" t="inlineStr"/>
      <c r="N38" s="9" t="inlineStr">
        <is>
          <t>—</t>
        </is>
      </c>
      <c r="O38" s="10" t="inlineStr">
        <is>
          <t>—</t>
        </is>
      </c>
      <c r="P38" s="10" t="n"/>
      <c r="Q38" s="10" t="n"/>
      <c r="R38" s="10" t="inlineStr">
        <is>
          <t>Dopo GO</t>
        </is>
      </c>
      <c r="S38" s="12" t="n">
        <v>0</v>
      </c>
      <c r="T38" s="10" t="inlineStr">
        <is>
          <t>T-802</t>
        </is>
      </c>
      <c r="U38" s="10" t="inlineStr">
        <is>
          <t>H-401</t>
        </is>
      </c>
      <c r="V38" s="10" t="inlineStr">
        <is>
          <t>docs/ecc-hooks-analysis.md, agents/policy/llm-registry.json, [N] wrapper AgentShield</t>
        </is>
      </c>
    </row>
    <row r="39" ht="58" customHeight="1">
      <c r="A39" s="9" t="n">
        <v>8</v>
      </c>
      <c r="B39" s="9" t="n">
        <v>56</v>
      </c>
      <c r="C39" s="10" t="inlineStr">
        <is>
          <t>H-803</t>
        </is>
      </c>
      <c r="D39" s="11" t="inlineStr">
        <is>
          <t>PK-24</t>
        </is>
      </c>
      <c r="E39" s="10" t="inlineStr">
        <is>
          <t>Setup KB `HLS_*`</t>
        </is>
      </c>
      <c r="F39" s="10" t="inlineStr">
        <is>
          <t>**Fase 8.** T-803 (Q9). Mai su collection esistenti</t>
        </is>
      </c>
      <c r="G39" s="10" t="inlineStr">
        <is>
          <t>Crea `HLS_*` solo con autorizzazione esplicita del SUPERVISORE</t>
        </is>
      </c>
      <c r="H39" s="10" t="inlineStr">
        <is>
          <t>H-202, H-204 [P]</t>
        </is>
      </c>
      <c r="I39" s="9" t="inlineStr">
        <is>
          <t>Da fare</t>
        </is>
      </c>
      <c r="J39" s="9">
        <f>IF(I39="Fatto","✔ Sì","✘ No")</f>
        <v/>
      </c>
      <c r="K39" s="9" t="inlineStr">
        <is>
          <t>SCIBETTA</t>
        </is>
      </c>
      <c r="L39" s="9" t="inlineStr"/>
      <c r="M39" s="10" t="inlineStr"/>
      <c r="N39" s="9" t="inlineStr">
        <is>
          <t>—</t>
        </is>
      </c>
      <c r="O39" s="10" t="inlineStr">
        <is>
          <t>—</t>
        </is>
      </c>
      <c r="P39" s="10" t="n"/>
      <c r="Q39" s="10" t="n"/>
      <c r="R39" s="10" t="inlineStr">
        <is>
          <t>Dopo GO</t>
        </is>
      </c>
      <c r="S39" s="12" t="n">
        <v>0</v>
      </c>
      <c r="T39" s="10" t="inlineStr">
        <is>
          <t>T-803</t>
        </is>
      </c>
      <c r="U39" s="10" t="inlineStr">
        <is>
          <t>H-202, H-204</t>
        </is>
      </c>
      <c r="V39" s="10" t="inlineStr">
        <is>
          <t>[N] script KB / MCP in sola lettura</t>
        </is>
      </c>
    </row>
    <row r="40" ht="58" customHeight="1">
      <c r="A40" s="9" t="n">
        <v>8</v>
      </c>
      <c r="B40" s="9" t="n">
        <v>57</v>
      </c>
      <c r="C40" s="10" t="inlineStr">
        <is>
          <t>H-804</t>
        </is>
      </c>
      <c r="D40" s="11" t="inlineStr">
        <is>
          <t>PK-24</t>
        </is>
      </c>
      <c r="E40" s="10" t="inlineStr">
        <is>
          <t>Accesso agenti alla KB</t>
        </is>
      </c>
      <c r="F40" s="10" t="inlineStr">
        <is>
          <t>**Fase 8.** T-804</t>
        </is>
      </c>
      <c r="G40" s="10" t="inlineStr">
        <is>
          <t>Solo MCP/CLI in sola lettura, eventi registrati, degrado senza contesto</t>
        </is>
      </c>
      <c r="H40" s="10" t="inlineStr">
        <is>
          <t>H-803, H-611 [P]</t>
        </is>
      </c>
      <c r="I40" s="9" t="inlineStr">
        <is>
          <t>Da fare</t>
        </is>
      </c>
      <c r="J40" s="9">
        <f>IF(I40="Fatto","✔ Sì","✘ No")</f>
        <v/>
      </c>
      <c r="K40" s="9" t="inlineStr">
        <is>
          <t>SCIBETTA</t>
        </is>
      </c>
      <c r="L40" s="9" t="inlineStr"/>
      <c r="M40" s="10" t="inlineStr"/>
      <c r="N40" s="9" t="inlineStr">
        <is>
          <t>—</t>
        </is>
      </c>
      <c r="O40" s="10" t="inlineStr">
        <is>
          <t>—</t>
        </is>
      </c>
      <c r="P40" s="10" t="n"/>
      <c r="Q40" s="10" t="n"/>
      <c r="R40" s="10" t="inlineStr">
        <is>
          <t>Dopo GO</t>
        </is>
      </c>
      <c r="S40" s="12" t="n">
        <v>0</v>
      </c>
      <c r="T40" s="10" t="inlineStr">
        <is>
          <t>T-804</t>
        </is>
      </c>
      <c r="U40" s="10" t="inlineStr">
        <is>
          <t>H-611, H-803</t>
        </is>
      </c>
      <c r="V40" s="10" t="inlineStr">
        <is>
          <t>[N] script KB / MCP in sola lettura</t>
        </is>
      </c>
    </row>
    <row r="41" ht="58" customHeight="1">
      <c r="A41" s="9" t="inlineStr">
        <is>
          <t>8b</t>
        </is>
      </c>
      <c r="B41" s="9" t="n">
        <v>58</v>
      </c>
      <c r="C41" s="10" t="inlineStr">
        <is>
          <t>H-8b01</t>
        </is>
      </c>
      <c r="D41" s="11" t="inlineStr">
        <is>
          <t>PK-25</t>
        </is>
      </c>
      <c r="E41" s="10" t="inlineStr">
        <is>
          <t>`api/` loopback e hardening</t>
        </is>
      </c>
      <c r="F41" s="10" t="inlineStr">
        <is>
          <t>**Fase 8b.** T-8b01…T-8b04</t>
        </is>
      </c>
      <c r="G41" s="10" t="inlineStr">
        <is>
          <t>Token, Host/Origin, CSRF, CSP, limite body</t>
        </is>
      </c>
      <c r="H41" s="10" t="inlineStr">
        <is>
          <t>H-303, H-401 [P]</t>
        </is>
      </c>
      <c r="I41" s="9" t="inlineStr">
        <is>
          <t>Da fare</t>
        </is>
      </c>
      <c r="J41" s="9">
        <f>IF(I41="Fatto","✔ Sì","✘ No")</f>
        <v/>
      </c>
      <c r="K41" s="9" t="inlineStr">
        <is>
          <t>SCIBETTA</t>
        </is>
      </c>
      <c r="L41" s="9" t="inlineStr"/>
      <c r="M41" s="10" t="inlineStr"/>
      <c r="N41" s="9" t="inlineStr">
        <is>
          <t>—</t>
        </is>
      </c>
      <c r="O41" s="10" t="inlineStr">
        <is>
          <t>—</t>
        </is>
      </c>
      <c r="P41" s="10" t="n"/>
      <c r="Q41" s="10" t="n"/>
      <c r="R41" s="10" t="inlineStr">
        <is>
          <t>Dopo GO</t>
        </is>
      </c>
      <c r="S41" s="12" t="n">
        <v>0</v>
      </c>
      <c r="T41" s="10" t="inlineStr">
        <is>
          <t>T-8b01, T-8b04</t>
        </is>
      </c>
      <c r="U41" s="10" t="inlineStr">
        <is>
          <t>H-303, H-401</t>
        </is>
      </c>
      <c r="V41" s="10" t="inlineStr">
        <is>
          <t>api/</t>
        </is>
      </c>
    </row>
    <row r="42" ht="58" customHeight="1">
      <c r="A42" s="9" t="inlineStr">
        <is>
          <t>8b</t>
        </is>
      </c>
      <c r="B42" s="9" t="n">
        <v>59</v>
      </c>
      <c r="C42" s="10" t="inlineStr">
        <is>
          <t>H-8b02</t>
        </is>
      </c>
      <c r="D42" s="11" t="inlineStr">
        <is>
          <t>PK-25</t>
        </is>
      </c>
      <c r="E42" s="10" t="inlineStr">
        <is>
          <t>Read model derivato</t>
        </is>
      </c>
      <c r="F42" s="10" t="inlineStr">
        <is>
          <t>**Fase 8b.** T-8b05</t>
        </is>
      </c>
      <c r="G42" s="10" t="inlineStr">
        <is>
          <t>Cache rigenerabile, fonte unica (C27)</t>
        </is>
      </c>
      <c r="H42" s="10" t="inlineStr">
        <is>
          <t>H-8b01</t>
        </is>
      </c>
      <c r="I42" s="9" t="inlineStr">
        <is>
          <t>Da fare</t>
        </is>
      </c>
      <c r="J42" s="9">
        <f>IF(I42="Fatto","✔ Sì","✘ No")</f>
        <v/>
      </c>
      <c r="K42" s="9" t="inlineStr">
        <is>
          <t>SCIBETTA</t>
        </is>
      </c>
      <c r="L42" s="9" t="inlineStr"/>
      <c r="M42" s="10" t="inlineStr"/>
      <c r="N42" s="9" t="inlineStr">
        <is>
          <t>—</t>
        </is>
      </c>
      <c r="O42" s="10" t="inlineStr">
        <is>
          <t>—</t>
        </is>
      </c>
      <c r="P42" s="10" t="n"/>
      <c r="Q42" s="10" t="n"/>
      <c r="R42" s="10" t="inlineStr">
        <is>
          <t>Dopo GO</t>
        </is>
      </c>
      <c r="S42" s="12" t="n">
        <v>0</v>
      </c>
      <c r="T42" s="10" t="inlineStr">
        <is>
          <t>T-8b05</t>
        </is>
      </c>
      <c r="U42" s="10" t="inlineStr">
        <is>
          <t>H-8b01</t>
        </is>
      </c>
      <c r="V42" s="10" t="inlineStr">
        <is>
          <t>api/</t>
        </is>
      </c>
    </row>
    <row r="43" ht="58" customHeight="1">
      <c r="A43" s="9" t="inlineStr">
        <is>
          <t>8b</t>
        </is>
      </c>
      <c r="B43" s="9" t="n">
        <v>60</v>
      </c>
      <c r="C43" s="10" t="inlineStr">
        <is>
          <t>H-8b05</t>
        </is>
      </c>
      <c r="D43" s="11" t="inlineStr">
        <is>
          <t>PK-25</t>
        </is>
      </c>
      <c r="E43" s="10" t="inlineStr">
        <is>
          <t>Gate solo da sessione umana</t>
        </is>
      </c>
      <c r="F43" s="10" t="inlineStr">
        <is>
          <t>**Fase 8b.** T-8b08 (C23–C24)</t>
        </is>
      </c>
      <c r="G43" s="10" t="inlineStr">
        <is>
          <t>La UI non esegue build/test/git</t>
        </is>
      </c>
      <c r="H43" s="10" t="inlineStr">
        <is>
          <t>H-8b01, H-403</t>
        </is>
      </c>
      <c r="I43" s="9" t="inlineStr">
        <is>
          <t>Da fare</t>
        </is>
      </c>
      <c r="J43" s="9">
        <f>IF(I43="Fatto","✔ Sì","✘ No")</f>
        <v/>
      </c>
      <c r="K43" s="9" t="inlineStr">
        <is>
          <t>SCIBETTA</t>
        </is>
      </c>
      <c r="L43" s="9" t="inlineStr"/>
      <c r="M43" s="10" t="inlineStr"/>
      <c r="N43" s="9" t="inlineStr">
        <is>
          <t>—</t>
        </is>
      </c>
      <c r="O43" s="10" t="inlineStr">
        <is>
          <t>—</t>
        </is>
      </c>
      <c r="P43" s="10" t="n"/>
      <c r="Q43" s="10" t="n"/>
      <c r="R43" s="10" t="inlineStr">
        <is>
          <t>Dopo GO</t>
        </is>
      </c>
      <c r="S43" s="12" t="n">
        <v>0</v>
      </c>
      <c r="T43" s="10" t="inlineStr">
        <is>
          <t>T-8b08</t>
        </is>
      </c>
      <c r="U43" s="10" t="inlineStr">
        <is>
          <t>H-403, H-8b01</t>
        </is>
      </c>
      <c r="V43" s="10" t="inlineStr">
        <is>
          <t>api/</t>
        </is>
      </c>
    </row>
    <row r="44" ht="58" customHeight="1">
      <c r="A44" s="9" t="inlineStr">
        <is>
          <t>8b</t>
        </is>
      </c>
      <c r="B44" s="9" t="n">
        <v>61</v>
      </c>
      <c r="C44" s="10" t="inlineStr">
        <is>
          <t>H-8b03</t>
        </is>
      </c>
      <c r="D44" s="11" t="inlineStr">
        <is>
          <t>PK-26</t>
        </is>
      </c>
      <c r="E44" s="10" t="inlineStr">
        <is>
          <t>`ui/` viste</t>
        </is>
      </c>
      <c r="F44" s="10" t="inlineStr">
        <is>
          <t>**Fase 8b.** T-8b06</t>
        </is>
      </c>
      <c r="G44" s="10" t="inlineStr">
        <is>
          <t>Portfolio, LIMET, HELIOS, CEREBRO, Criticità</t>
        </is>
      </c>
      <c r="H44" s="10" t="inlineStr">
        <is>
          <t>H-8b02</t>
        </is>
      </c>
      <c r="I44" s="9" t="inlineStr">
        <is>
          <t>Da fare</t>
        </is>
      </c>
      <c r="J44" s="9">
        <f>IF(I44="Fatto","✔ Sì","✘ No")</f>
        <v/>
      </c>
      <c r="K44" s="9" t="inlineStr">
        <is>
          <t>NARO</t>
        </is>
      </c>
      <c r="L44" s="9" t="inlineStr"/>
      <c r="M44" s="10" t="inlineStr"/>
      <c r="N44" s="9" t="inlineStr">
        <is>
          <t>—</t>
        </is>
      </c>
      <c r="O44" s="10" t="inlineStr">
        <is>
          <t>—</t>
        </is>
      </c>
      <c r="P44" s="10" t="n"/>
      <c r="Q44" s="10" t="n"/>
      <c r="R44" s="10" t="inlineStr">
        <is>
          <t>Dopo GO</t>
        </is>
      </c>
      <c r="S44" s="12" t="n">
        <v>0</v>
      </c>
      <c r="T44" s="10" t="inlineStr">
        <is>
          <t>T-8b06</t>
        </is>
      </c>
      <c r="U44" s="10" t="inlineStr">
        <is>
          <t>H-8b02</t>
        </is>
      </c>
      <c r="V44" s="10" t="inlineStr">
        <is>
          <t>ui/, [N] shim launcher :8799</t>
        </is>
      </c>
    </row>
    <row r="45" ht="58" customHeight="1">
      <c r="A45" s="9" t="inlineStr">
        <is>
          <t>8b</t>
        </is>
      </c>
      <c r="B45" s="9" t="n">
        <v>62</v>
      </c>
      <c r="C45" s="10" t="inlineStr">
        <is>
          <t>H-8b04</t>
        </is>
      </c>
      <c r="D45" s="11" t="inlineStr">
        <is>
          <t>PK-26</t>
        </is>
      </c>
      <c r="E45" s="10" t="inlineStr">
        <is>
          <t>Vista Permessi agenti</t>
        </is>
      </c>
      <c r="F45" s="10" t="inlineStr">
        <is>
          <t>**Fase 8b.** T-405, T-8b07</t>
        </is>
      </c>
      <c r="G45" s="10" t="inlineStr">
        <is>
          <t>Conferma, motivazione, audit, rollback</t>
        </is>
      </c>
      <c r="H45" s="10" t="inlineStr">
        <is>
          <t>H-404, H-8b03</t>
        </is>
      </c>
      <c r="I45" s="9" t="inlineStr">
        <is>
          <t>Da fare</t>
        </is>
      </c>
      <c r="J45" s="9">
        <f>IF(I45="Fatto","✔ Sì","✘ No")</f>
        <v/>
      </c>
      <c r="K45" s="9" t="inlineStr">
        <is>
          <t>NARO</t>
        </is>
      </c>
      <c r="L45" s="9" t="inlineStr"/>
      <c r="M45" s="10" t="inlineStr"/>
      <c r="N45" s="9" t="inlineStr">
        <is>
          <t>—</t>
        </is>
      </c>
      <c r="O45" s="10" t="inlineStr">
        <is>
          <t>—</t>
        </is>
      </c>
      <c r="P45" s="10" t="n"/>
      <c r="Q45" s="10" t="n"/>
      <c r="R45" s="10" t="inlineStr">
        <is>
          <t>Dopo GO</t>
        </is>
      </c>
      <c r="S45" s="12" t="n">
        <v>0</v>
      </c>
      <c r="T45" s="10" t="inlineStr">
        <is>
          <t>T-405, T-8b07</t>
        </is>
      </c>
      <c r="U45" s="10" t="inlineStr">
        <is>
          <t>H-404, H-8b03</t>
        </is>
      </c>
      <c r="V45" s="10" t="inlineStr">
        <is>
          <t>ui/, [N] shim launcher :8799</t>
        </is>
      </c>
    </row>
    <row r="46" ht="58" customHeight="1">
      <c r="A46" s="9" t="inlineStr">
        <is>
          <t>8b</t>
        </is>
      </c>
      <c r="B46" s="9" t="n">
        <v>63</v>
      </c>
      <c r="C46" s="10" t="inlineStr">
        <is>
          <t>H-8b06</t>
        </is>
      </c>
      <c r="D46" s="11" t="inlineStr">
        <is>
          <t>PK-26</t>
        </is>
      </c>
      <c r="E46" s="10" t="inlineStr">
        <is>
          <t>Grafica e accessibilità</t>
        </is>
      </c>
      <c r="F46" s="10" t="inlineStr">
        <is>
          <t>**Fase 8b.** T-8b09</t>
        </is>
      </c>
      <c r="G46" s="10" t="inlineStr">
        <is>
          <t>SVG/Canvas, WCAG 2.1 AA, budget prestazioni (C26)</t>
        </is>
      </c>
      <c r="H46" s="10" t="inlineStr">
        <is>
          <t>H-8b03</t>
        </is>
      </c>
      <c r="I46" s="9" t="inlineStr">
        <is>
          <t>Da fare</t>
        </is>
      </c>
      <c r="J46" s="9">
        <f>IF(I46="Fatto","✔ Sì","✘ No")</f>
        <v/>
      </c>
      <c r="K46" s="9" t="inlineStr">
        <is>
          <t>NARO</t>
        </is>
      </c>
      <c r="L46" s="9" t="inlineStr"/>
      <c r="M46" s="10" t="inlineStr"/>
      <c r="N46" s="9" t="inlineStr">
        <is>
          <t>—</t>
        </is>
      </c>
      <c r="O46" s="10" t="inlineStr">
        <is>
          <t>—</t>
        </is>
      </c>
      <c r="P46" s="10" t="n"/>
      <c r="Q46" s="10" t="n"/>
      <c r="R46" s="10" t="inlineStr">
        <is>
          <t>Dopo GO</t>
        </is>
      </c>
      <c r="S46" s="12" t="n">
        <v>0</v>
      </c>
      <c r="T46" s="10" t="inlineStr">
        <is>
          <t>T-8b09</t>
        </is>
      </c>
      <c r="U46" s="10" t="inlineStr">
        <is>
          <t>H-8b03</t>
        </is>
      </c>
      <c r="V46" s="10" t="inlineStr">
        <is>
          <t>ui/, [N] shim launcher :8799</t>
        </is>
      </c>
    </row>
    <row r="47" ht="58" customHeight="1">
      <c r="A47" s="9" t="inlineStr">
        <is>
          <t>8b</t>
        </is>
      </c>
      <c r="B47" s="9" t="n">
        <v>64</v>
      </c>
      <c r="C47" s="10" t="inlineStr">
        <is>
          <t>H-8b07</t>
        </is>
      </c>
      <c r="D47" s="11" t="inlineStr">
        <is>
          <t>PK-26</t>
        </is>
      </c>
      <c r="E47" s="10" t="inlineStr">
        <is>
          <t>Governance dipendenze npm</t>
        </is>
      </c>
      <c r="F47" s="10" t="inlineStr">
        <is>
          <t>**Fase 8b.** T-8b10</t>
        </is>
      </c>
      <c r="G47" s="10" t="inlineStr">
        <is>
          <t>Lockfile, licenze, audit, SBOM (C25)</t>
        </is>
      </c>
      <c r="H47" s="10" t="inlineStr">
        <is>
          <t>H-8b03</t>
        </is>
      </c>
      <c r="I47" s="9" t="inlineStr">
        <is>
          <t>Da fare</t>
        </is>
      </c>
      <c r="J47" s="9">
        <f>IF(I47="Fatto","✔ Sì","✘ No")</f>
        <v/>
      </c>
      <c r="K47" s="9" t="inlineStr">
        <is>
          <t>NARO</t>
        </is>
      </c>
      <c r="L47" s="9" t="inlineStr"/>
      <c r="M47" s="10" t="inlineStr"/>
      <c r="N47" s="9" t="inlineStr">
        <is>
          <t>—</t>
        </is>
      </c>
      <c r="O47" s="10" t="inlineStr">
        <is>
          <t>—</t>
        </is>
      </c>
      <c r="P47" s="10" t="n"/>
      <c r="Q47" s="10" t="n"/>
      <c r="R47" s="10" t="inlineStr">
        <is>
          <t>Dopo GO</t>
        </is>
      </c>
      <c r="S47" s="12" t="n">
        <v>0</v>
      </c>
      <c r="T47" s="10" t="inlineStr">
        <is>
          <t>T-8b10</t>
        </is>
      </c>
      <c r="U47" s="10" t="inlineStr">
        <is>
          <t>H-8b03</t>
        </is>
      </c>
      <c r="V47" s="10" t="inlineStr">
        <is>
          <t>ui/, [N] shim launcher :8799</t>
        </is>
      </c>
    </row>
    <row r="48" ht="58" customHeight="1">
      <c r="A48" s="9" t="inlineStr">
        <is>
          <t>8b</t>
        </is>
      </c>
      <c r="B48" s="9" t="n">
        <v>65</v>
      </c>
      <c r="C48" s="10" t="inlineStr">
        <is>
          <t>H-8b08</t>
        </is>
      </c>
      <c r="D48" s="11" t="inlineStr">
        <is>
          <t>PK-26</t>
        </is>
      </c>
      <c r="E48" s="10" t="inlineStr">
        <is>
          <t>Sostituzione launcher :8799</t>
        </is>
      </c>
      <c r="F48" s="10" t="inlineStr">
        <is>
          <t>**Fase 8b.** T-304</t>
        </is>
      </c>
      <c r="G48" s="10" t="inlineStr">
        <is>
          <t>Tramite shim</t>
        </is>
      </c>
      <c r="H48" s="10" t="inlineStr">
        <is>
          <t>H-304, H-8b03</t>
        </is>
      </c>
      <c r="I48" s="9" t="inlineStr">
        <is>
          <t>Da fare</t>
        </is>
      </c>
      <c r="J48" s="9">
        <f>IF(I48="Fatto","✔ Sì","✘ No")</f>
        <v/>
      </c>
      <c r="K48" s="9" t="inlineStr">
        <is>
          <t>NARO</t>
        </is>
      </c>
      <c r="L48" s="9" t="inlineStr"/>
      <c r="M48" s="10" t="inlineStr"/>
      <c r="N48" s="9" t="inlineStr">
        <is>
          <t>—</t>
        </is>
      </c>
      <c r="O48" s="10" t="inlineStr">
        <is>
          <t>—</t>
        </is>
      </c>
      <c r="P48" s="10" t="n"/>
      <c r="Q48" s="10" t="n"/>
      <c r="R48" s="10" t="inlineStr">
        <is>
          <t>Dopo GO</t>
        </is>
      </c>
      <c r="S48" s="12" t="n">
        <v>0</v>
      </c>
      <c r="T48" s="10" t="inlineStr">
        <is>
          <t>T-304</t>
        </is>
      </c>
      <c r="U48" s="10" t="inlineStr">
        <is>
          <t>H-304, H-8b03</t>
        </is>
      </c>
      <c r="V48" s="10" t="inlineStr">
        <is>
          <t>ui/, [N] shim launcher :8799</t>
        </is>
      </c>
    </row>
    <row r="49" ht="58" customHeight="1">
      <c r="A49" s="9" t="n">
        <v>9</v>
      </c>
      <c r="B49" s="9" t="n">
        <v>66</v>
      </c>
      <c r="C49" s="10" t="inlineStr">
        <is>
          <t>H-901</t>
        </is>
      </c>
      <c r="D49" s="11" t="inlineStr">
        <is>
          <t>PK-27</t>
        </is>
      </c>
      <c r="E49" s="10" t="inlineStr">
        <is>
          <t>Scenari E2E ALA V1–V24</t>
        </is>
      </c>
      <c r="F49" s="10" t="inlineStr">
        <is>
          <t>**Fase 9.** `E2E_VERIFICATION.md` (V1–V24)</t>
        </is>
      </c>
      <c r="G49" s="10" t="inlineStr">
        <is>
          <t>Catena completa su 3 OS, progetto pilota</t>
        </is>
      </c>
      <c r="H49" s="10" t="inlineStr">
        <is>
          <t>Fasi 5–8</t>
        </is>
      </c>
      <c r="I49" s="9" t="inlineStr">
        <is>
          <t>Da fare</t>
        </is>
      </c>
      <c r="J49" s="9">
        <f>IF(I49="Fatto","✔ Sì","✘ No")</f>
        <v/>
      </c>
      <c r="K49" s="9" t="inlineStr">
        <is>
          <t>SCIBETTA</t>
        </is>
      </c>
      <c r="L49" s="9" t="inlineStr"/>
      <c r="M49" s="10" t="inlineStr"/>
      <c r="N49" s="9" t="inlineStr">
        <is>
          <t>—</t>
        </is>
      </c>
      <c r="O49" s="10" t="inlineStr">
        <is>
          <t>—</t>
        </is>
      </c>
      <c r="P49" s="10" t="n"/>
      <c r="Q49" s="10" t="n"/>
      <c r="R49" s="10" t="inlineStr">
        <is>
          <t>Dopo GO</t>
        </is>
      </c>
      <c r="S49" s="12" t="n">
        <v>0</v>
      </c>
      <c r="T49" s="10" t="inlineStr">
        <is>
          <t>—</t>
        </is>
      </c>
      <c r="U49" s="10" t="inlineStr">
        <is>
          <t>—</t>
        </is>
      </c>
      <c r="V49" s="10" t="inlineStr">
        <is>
          <t>E2E_VERIFICATION.md</t>
        </is>
      </c>
    </row>
    <row r="50" ht="58" customHeight="1">
      <c r="A50" s="9" t="n">
        <v>9</v>
      </c>
      <c r="B50" s="9" t="n">
        <v>67</v>
      </c>
      <c r="C50" s="10" t="inlineStr">
        <is>
          <t>H-902</t>
        </is>
      </c>
      <c r="D50" s="11" t="inlineStr">
        <is>
          <t>PK-28</t>
        </is>
      </c>
      <c r="E50" s="10" t="inlineStr">
        <is>
          <t>README e troubleshooting plugin</t>
        </is>
      </c>
      <c r="F50" s="10" t="inlineStr">
        <is>
          <t>**Fase 9.** `agents/plugin/README.md`</t>
        </is>
      </c>
      <c r="G50" s="10" t="inlineStr">
        <is>
          <t>Installazione, configurazione, errori</t>
        </is>
      </c>
      <c r="H50" s="10" t="inlineStr">
        <is>
          <t>H-901 [P]</t>
        </is>
      </c>
      <c r="I50" s="9" t="inlineStr">
        <is>
          <t>Da fare</t>
        </is>
      </c>
      <c r="J50" s="9">
        <f>IF(I50="Fatto","✔ Sì","✘ No")</f>
        <v/>
      </c>
      <c r="K50" s="9" t="inlineStr">
        <is>
          <t>NARO</t>
        </is>
      </c>
      <c r="L50" s="9" t="inlineStr"/>
      <c r="M50" s="10" t="inlineStr"/>
      <c r="N50" s="9" t="inlineStr">
        <is>
          <t>—</t>
        </is>
      </c>
      <c r="O50" s="10" t="inlineStr">
        <is>
          <t>—</t>
        </is>
      </c>
      <c r="P50" s="10" t="n"/>
      <c r="Q50" s="10" t="n"/>
      <c r="R50" s="10" t="inlineStr">
        <is>
          <t>Dopo GO</t>
        </is>
      </c>
      <c r="S50" s="12" t="n">
        <v>0</v>
      </c>
      <c r="T50" s="10" t="inlineStr">
        <is>
          <t>—</t>
        </is>
      </c>
      <c r="U50" s="10" t="inlineStr">
        <is>
          <t>H-901</t>
        </is>
      </c>
      <c r="V50" s="10" t="inlineStr">
        <is>
          <t>agents/plugin/README.md</t>
        </is>
      </c>
    </row>
    <row r="51" ht="58" customHeight="1">
      <c r="A51" s="9" t="n">
        <v>11</v>
      </c>
      <c r="B51" s="9" t="n">
        <v>68</v>
      </c>
      <c r="C51" s="10" t="inlineStr">
        <is>
          <t>H-1101</t>
        </is>
      </c>
      <c r="D51" s="11" t="inlineStr">
        <is>
          <t>PK-28</t>
        </is>
      </c>
      <c r="E51" s="10" t="inlineStr">
        <is>
          <t>Manuali, NOTICE, runbook</t>
        </is>
      </c>
      <c r="F51" s="10" t="inlineStr">
        <is>
          <t>**Fase 11.** Revisione approvata</t>
        </is>
      </c>
      <c r="G51" s="10" t="inlineStr">
        <is>
          <t>Documentazione finale</t>
        </is>
      </c>
      <c r="H51" s="10" t="inlineStr">
        <is>
          <t>H-901</t>
        </is>
      </c>
      <c r="I51" s="9" t="inlineStr">
        <is>
          <t>Da fare</t>
        </is>
      </c>
      <c r="J51" s="9">
        <f>IF(I51="Fatto","✔ Sì","✘ No")</f>
        <v/>
      </c>
      <c r="K51" s="9" t="inlineStr">
        <is>
          <t>NARO</t>
        </is>
      </c>
      <c r="L51" s="9" t="inlineStr"/>
      <c r="M51" s="10" t="inlineStr"/>
      <c r="N51" s="9" t="inlineStr">
        <is>
          <t>—</t>
        </is>
      </c>
      <c r="O51" s="10" t="inlineStr">
        <is>
          <t>—</t>
        </is>
      </c>
      <c r="P51" s="10" t="n"/>
      <c r="Q51" s="10" t="n"/>
      <c r="R51" s="10" t="inlineStr">
        <is>
          <t>Dopo GO</t>
        </is>
      </c>
      <c r="S51" s="12" t="n">
        <v>0</v>
      </c>
      <c r="T51" s="10" t="inlineStr">
        <is>
          <t>—</t>
        </is>
      </c>
      <c r="U51" s="10" t="inlineStr">
        <is>
          <t>H-901</t>
        </is>
      </c>
      <c r="V51" s="10" t="inlineStr">
        <is>
          <t>agents/plugin/README.md, docs/ (manuali, NOTICE, runbook)</t>
        </is>
      </c>
    </row>
    <row r="52" ht="58" customHeight="1">
      <c r="A52" s="9" t="n">
        <v>10</v>
      </c>
      <c r="B52" s="9" t="n">
        <v>69</v>
      </c>
      <c r="C52" s="10" t="inlineStr">
        <is>
          <t>H-1001</t>
        </is>
      </c>
      <c r="D52" s="11" t="inlineStr">
        <is>
          <t>PK-29</t>
        </is>
      </c>
      <c r="E52" s="10" t="inlineStr">
        <is>
          <t>Hardening</t>
        </is>
      </c>
      <c r="F52" s="10" t="inlineStr">
        <is>
          <t>**Fase 10.** Nessun T-xxx in IN §6 **[N]**: verifica = audit</t>
        </is>
      </c>
      <c r="G52" s="10" t="inlineStr">
        <is>
          <t>Log immutabili, sandbox, SBOM, audit</t>
        </is>
      </c>
      <c r="H52" s="10" t="inlineStr">
        <is>
          <t>H-901</t>
        </is>
      </c>
      <c r="I52" s="9" t="inlineStr">
        <is>
          <t>Da fare</t>
        </is>
      </c>
      <c r="J52" s="9">
        <f>IF(I52="Fatto","✔ Sì","✘ No")</f>
        <v/>
      </c>
      <c r="K52" s="9" t="inlineStr">
        <is>
          <t>SCIBETTA</t>
        </is>
      </c>
      <c r="L52" s="9" t="inlineStr"/>
      <c r="M52" s="10" t="inlineStr"/>
      <c r="N52" s="9" t="inlineStr">
        <is>
          <t>—</t>
        </is>
      </c>
      <c r="O52" s="10" t="inlineStr">
        <is>
          <t>—</t>
        </is>
      </c>
      <c r="P52" s="10" t="n"/>
      <c r="Q52" s="10" t="n"/>
      <c r="R52" s="10" t="inlineStr">
        <is>
          <t>Dopo GO</t>
        </is>
      </c>
      <c r="S52" s="12" t="n">
        <v>0</v>
      </c>
      <c r="T52" s="10" t="inlineStr">
        <is>
          <t>—</t>
        </is>
      </c>
      <c r="U52" s="10" t="inlineStr">
        <is>
          <t>H-901</t>
        </is>
      </c>
      <c r="V52" s="10" t="inlineStr">
        <is>
          <t>[N] log immutabili, sandbox, SBOM</t>
        </is>
      </c>
    </row>
    <row r="53" ht="58" customHeight="1">
      <c r="A53" s="9" t="n">
        <v>12</v>
      </c>
      <c r="B53" s="9" t="n">
        <v>70</v>
      </c>
      <c r="C53" s="10" t="inlineStr">
        <is>
          <t>H-1201</t>
        </is>
      </c>
      <c r="D53" s="11" t="inlineStr">
        <is>
          <t>PK-30</t>
        </is>
      </c>
      <c r="E53" s="10" t="inlineStr">
        <is>
          <t>Rollout sul pilota</t>
        </is>
      </c>
      <c r="F53" s="10" t="inlineStr">
        <is>
          <t>**Fase 12.** Parere legale **[N]**</t>
        </is>
      </c>
      <c r="G53" s="10" t="inlineStr">
        <is>
          <t>Metriche, rollback, parere legale</t>
        </is>
      </c>
      <c r="H53" s="10" t="inlineStr">
        <is>
          <t>H-1001, H-1101</t>
        </is>
      </c>
      <c r="I53" s="9" t="inlineStr">
        <is>
          <t>Da fare</t>
        </is>
      </c>
      <c r="J53" s="9">
        <f>IF(I53="Fatto","✔ Sì","✘ No")</f>
        <v/>
      </c>
      <c r="K53" s="9" t="inlineStr">
        <is>
          <t>NARO</t>
        </is>
      </c>
      <c r="L53" s="9" t="inlineStr"/>
      <c r="M53" s="10" t="inlineStr"/>
      <c r="N53" s="9" t="inlineStr">
        <is>
          <t>—</t>
        </is>
      </c>
      <c r="O53" s="10" t="inlineStr">
        <is>
          <t>—</t>
        </is>
      </c>
      <c r="P53" s="10" t="n"/>
      <c r="Q53" s="10" t="n"/>
      <c r="R53" s="10" t="inlineStr">
        <is>
          <t>Dopo GO</t>
        </is>
      </c>
      <c r="S53" s="12" t="n">
        <v>0</v>
      </c>
      <c r="T53" s="10" t="inlineStr">
        <is>
          <t>—</t>
        </is>
      </c>
      <c r="U53" s="10" t="inlineStr">
        <is>
          <t>H-1001, H-1101</t>
        </is>
      </c>
      <c r="V53" s="10" t="inlineStr">
        <is>
          <t>docs/ (metriche, rollback)</t>
        </is>
      </c>
    </row>
  </sheetData>
  <autoFilter ref="A4:V53"/>
  <mergeCells count="1">
    <mergeCell ref="A1:V1"/>
  </mergeCells>
  <conditionalFormatting sqref="A5:S53">
    <cfRule type="expression" priority="1" dxfId="0">
      <formula>AND($S5=1,$I5&lt;&gt;"Fatto")</formula>
    </cfRule>
    <cfRule type="expression" priority="2" dxfId="1">
      <formula>$I5="Fatto"</formula>
    </cfRule>
  </conditionalFormatting>
  <conditionalFormatting sqref="I5:I53">
    <cfRule type="cellIs" priority="3" operator="equal" dxfId="2">
      <formula>"Fatto"</formula>
    </cfRule>
    <cfRule type="cellIs" priority="4" operator="equal" dxfId="3">
      <formula>"In corso"</formula>
    </cfRule>
    <cfRule type="cellIs" priority="5" operator="equal" dxfId="4">
      <formula>"In review"</formula>
    </cfRule>
    <cfRule type="cellIs" priority="6" operator="equal" dxfId="5">
      <formula>"Bloccato"</formula>
    </cfRule>
    <cfRule type="cellIs" priority="7" operator="equal" dxfId="6">
      <formula>"Da fare"</formula>
    </cfRule>
  </conditionalFormatting>
  <conditionalFormatting sqref="K5:K53">
    <cfRule type="cellIs" priority="8" operator="equal" dxfId="7">
      <formula>"NARO"</formula>
    </cfRule>
    <cfRule type="cellIs" priority="9" operator="equal" dxfId="8">
      <formula>"SCIBETTA"</formula>
    </cfRule>
    <cfRule type="cellIs" priority="10" operator="equal" dxfId="9">
      <formula>"SUPERVISORE"</formula>
    </cfRule>
  </conditionalFormatting>
  <conditionalFormatting sqref="S5:S53">
    <cfRule type="dataBar" priority="11">
      <dataBar>
        <cfvo type="num" val="0"/>
        <cfvo type="num" val="1"/>
        <color rgb="0063BE7B"/>
      </dataBar>
    </cfRule>
  </conditionalFormatting>
  <dataValidations count="5">
    <dataValidation sqref="I5:I53" showDropDown="0" showInputMessage="0" showErrorMessage="0" allowBlank="1" type="list">
      <formula1>"Da fare,In corso,In review,Fatto,Bloccato"</formula1>
    </dataValidation>
    <dataValidation sqref="K5:K53" showDropDown="0" showInputMessage="0" showErrorMessage="0" allowBlank="1" type="list">
      <formula1>"NARO,SCIBETTA,SUPERVISORE,Da assegnare"</formula1>
    </dataValidation>
    <dataValidation sqref="L5:L53" showDropDown="0" showInputMessage="0" showErrorMessage="0" allowBlank="1" type="list">
      <formula1>"S,M,L"</formula1>
    </dataValidation>
    <dataValidation sqref="N5:N53" showDropDown="0" showInputMessage="0" showErrorMessage="0" allowBlank="1" type="list">
      <formula1>"Sì,No,—"</formula1>
    </dataValidation>
    <dataValidation sqref="S5:S53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N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0" customWidth="1" min="4" max="4"/>
    <col width="8" customWidth="1" min="5" max="5"/>
    <col width="8" customWidth="1" min="6" max="6"/>
    <col width="12" customWidth="1" min="7" max="7"/>
    <col width="14" customWidth="1" min="8" max="8"/>
    <col width="18" customWidth="1" min="9" max="9"/>
    <col width="26" customWidth="1" min="10" max="10"/>
    <col width="52" customWidth="1" min="11" max="11"/>
    <col width="32" customWidth="1" min="12" max="12"/>
    <col width="24" customWidth="1" min="13" max="13"/>
    <col width="60" customWidth="1" min="14" max="14"/>
  </cols>
  <sheetData>
    <row r="1" ht="30" customHeight="1">
      <c r="A1" s="13" t="inlineStr">
        <is>
          <t>HELIOS — Pacchetti di task adiacenti [P: assegnazione da approvare dal SUPERVISORE]</t>
        </is>
      </c>
    </row>
    <row r="2" ht="45" customHeight="1">
      <c r="A2" s="14" t="inlineStr">
        <is>
          <t>Un pacchetto = task adiacenti (stessa fase/moduli/test) da implementare insieme, step by step. Lo stato si calcola dai fogli Pre-GO / Post-GO. Risorse: NARO e SCIBETTA lavorano in parallelo su percorsi disgiunti. Criterio di bilanciamento: n. task (nessuna stima disponibile, [N]) e continuità sugli stessi file.</t>
        </is>
      </c>
    </row>
    <row r="4" ht="30" customHeight="1">
      <c r="A4" s="2" t="inlineStr">
        <is>
          <t>Pacchetto</t>
        </is>
      </c>
      <c r="B4" s="2" t="inlineStr">
        <is>
          <t>Onda</t>
        </is>
      </c>
      <c r="C4" s="2" t="inlineStr">
        <is>
          <t>Nome</t>
        </is>
      </c>
      <c r="D4" s="2" t="inlineStr">
        <is>
          <t>Task H-xxx</t>
        </is>
      </c>
      <c r="E4" s="2" t="inlineStr">
        <is>
          <t>N. task</t>
        </is>
      </c>
      <c r="F4" s="2" t="inlineStr">
        <is>
          <t>Fatti</t>
        </is>
      </c>
      <c r="G4" s="2" t="inlineStr">
        <is>
          <t>Stato</t>
        </is>
      </c>
      <c r="H4" s="2" t="inlineStr">
        <is>
          <t>Risorsa</t>
        </is>
      </c>
      <c r="I4" s="2" t="inlineStr">
        <is>
          <t>Step risorsa</t>
        </is>
      </c>
      <c r="J4" s="2" t="inlineStr">
        <is>
          <t>Test T-xxx</t>
        </is>
      </c>
      <c r="K4" s="2" t="inlineStr">
        <is>
          <t>Percorsi toccati</t>
        </is>
      </c>
      <c r="L4" s="2" t="inlineStr">
        <is>
          <t>Dipende da (pacchetti)</t>
        </is>
      </c>
      <c r="M4" s="2" t="inlineStr">
        <is>
          <t>Parallelizzabile con</t>
        </is>
      </c>
      <c r="N4" s="2" t="inlineStr">
        <is>
          <t>Punti di contatto / note [N]</t>
        </is>
      </c>
    </row>
    <row r="5" ht="62" customHeight="1">
      <c r="A5" s="11" t="inlineStr">
        <is>
          <t>PK-00</t>
        </is>
      </c>
      <c r="B5" s="9" t="inlineStr">
        <is>
          <t>Onda 0</t>
        </is>
      </c>
      <c r="C5" s="10" t="inlineStr">
        <is>
          <t>Discovery (ADR, Costituzione, runtime)</t>
        </is>
      </c>
      <c r="D5" s="10" t="inlineStr">
        <is>
          <t>H-101, H-102, H-103</t>
        </is>
      </c>
      <c r="E5" s="9">
        <f>COUNTIF('Pre-GO'!D5:D25,A5)+COUNTIF('Post-GO'!D5:D53,A5)</f>
        <v/>
      </c>
      <c r="F5" s="9">
        <f>COUNTIFS('Pre-GO'!D5:D25,A5,'Pre-GO'!I5:I25,"Fatto")+COUNTIFS('Post-GO'!D5:D53,A5,'Post-GO'!I5:I53,"Fatto")</f>
        <v/>
      </c>
      <c r="G5" s="9">
        <f>IF(COUNTIFS('Pre-GO'!D5:D25,A5,'Pre-GO'!I5:I25,"Bloccato")+COUNTIFS('Post-GO'!D5:D53,A5,'Post-GO'!I5:I53,"Bloccato")&gt;0,"Bloccato",IF(F5=E5,"Fatto",IF(COUNTIFS('Pre-GO'!D5:D25,A5,'Pre-GO'!I5:I25,"In corso")+COUNTIFS('Post-GO'!D5:D53,A5,'Post-GO'!I5:I53,"In corso")+COUNTIFS('Pre-GO'!D5:D25,A5,'Pre-GO'!I5:I25,"In review")+COUNTIFS('Post-GO'!D5:D53,A5,'Post-GO'!I5:I53,"In review")+F5&gt;0,"In corso","Da fare")))</f>
        <v/>
      </c>
      <c r="H5" s="9" t="inlineStr">
        <is>
          <t>SUPERVISORE</t>
        </is>
      </c>
      <c r="I5" s="9" t="inlineStr">
        <is>
          <t>Chiuso</t>
        </is>
      </c>
      <c r="J5" s="10" t="inlineStr">
        <is>
          <t>—</t>
        </is>
      </c>
      <c r="K5" s="10" t="inlineStr">
        <is>
          <t>docs/adr/, docs/CONSTITUTION.md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Completato 2026-10-29.</t>
        </is>
      </c>
    </row>
    <row r="6" ht="62" customHeight="1">
      <c r="A6" s="11" t="inlineStr">
        <is>
          <t>PK-01</t>
        </is>
      </c>
      <c r="B6" s="9" t="inlineStr">
        <is>
          <t>Onda 1</t>
        </is>
      </c>
      <c r="C6" s="10" t="inlineStr">
        <is>
          <t>Contratti JSON</t>
        </is>
      </c>
      <c r="D6" s="10" t="inlineStr">
        <is>
          <t>H-303</t>
        </is>
      </c>
      <c r="E6" s="9">
        <f>COUNTIF('Pre-GO'!D5:D25,A6)+COUNTIF('Post-GO'!D5:D53,A6)</f>
        <v/>
      </c>
      <c r="F6" s="9">
        <f>COUNTIFS('Pre-GO'!D5:D25,A6,'Pre-GO'!I5:I25,"Fatto")+COUNTIFS('Post-GO'!D5:D53,A6,'Post-GO'!I5:I53,"Fatto")</f>
        <v/>
      </c>
      <c r="G6" s="9">
        <f>IF(COUNTIFS('Pre-GO'!D5:D25,A6,'Pre-GO'!I5:I25,"Bloccato")+COUNTIFS('Post-GO'!D5:D53,A6,'Post-GO'!I5:I53,"Bloccato")&gt;0,"Bloccato",IF(F6=E6,"Fatto",IF(COUNTIFS('Pre-GO'!D5:D25,A6,'Pre-GO'!I5:I25,"In corso")+COUNTIFS('Post-GO'!D5:D53,A6,'Post-GO'!I5:I53,"In corso")+COUNTIFS('Pre-GO'!D5:D25,A6,'Pre-GO'!I5:I25,"In review")+COUNTIFS('Post-GO'!D5:D53,A6,'Post-GO'!I5:I53,"In review")+F6&gt;0,"In corso","Da fare")))</f>
        <v/>
      </c>
      <c r="H6" s="9" t="inlineStr">
        <is>
          <t>SCIBETTA</t>
        </is>
      </c>
      <c r="I6" s="9" t="inlineStr">
        <is>
          <t>S1</t>
        </is>
      </c>
      <c r="J6" s="10" t="inlineStr">
        <is>
          <t>T-303</t>
        </is>
      </c>
      <c r="K6" s="10" t="inlineStr">
        <is>
          <t>agents/contracts/</t>
        </is>
      </c>
      <c r="L6" s="10" t="inlineStr">
        <is>
          <t>PK-00</t>
        </is>
      </c>
      <c r="M6" s="10" t="inlineStr">
        <is>
          <t>PK-02, PK-03, PK-04</t>
        </is>
      </c>
      <c r="N6" s="10" t="inlineStr">
        <is>
          <t>Congela gli schemi prima di Fase 4: modifiche successive solo da SCIBETTA (owner di agents/contracts/).</t>
        </is>
      </c>
    </row>
    <row r="7" ht="62" customHeight="1">
      <c r="A7" s="11" t="inlineStr">
        <is>
          <t>PK-02</t>
        </is>
      </c>
      <c r="B7" s="9" t="inlineStr">
        <is>
          <t>Onda 1</t>
        </is>
      </c>
      <c r="C7" s="10" t="inlineStr">
        <is>
          <t>Inventario e ledger ECC</t>
        </is>
      </c>
      <c r="D7" s="10" t="inlineStr">
        <is>
          <t>H-201, H-202</t>
        </is>
      </c>
      <c r="E7" s="9">
        <f>COUNTIF('Pre-GO'!D5:D25,A7)+COUNTIF('Post-GO'!D5:D53,A7)</f>
        <v/>
      </c>
      <c r="F7" s="9">
        <f>COUNTIFS('Pre-GO'!D5:D25,A7,'Pre-GO'!I5:I25,"Fatto")+COUNTIFS('Post-GO'!D5:D53,A7,'Post-GO'!I5:I53,"Fatto")</f>
        <v/>
      </c>
      <c r="G7" s="9">
        <f>IF(COUNTIFS('Pre-GO'!D5:D25,A7,'Pre-GO'!I5:I25,"Bloccato")+COUNTIFS('Post-GO'!D5:D53,A7,'Post-GO'!I5:I53,"Bloccato")&gt;0,"Bloccato",IF(F7=E7,"Fatto",IF(COUNTIFS('Pre-GO'!D5:D25,A7,'Pre-GO'!I5:I25,"In corso")+COUNTIFS('Post-GO'!D5:D53,A7,'Post-GO'!I5:I53,"In corso")+COUNTIFS('Pre-GO'!D5:D25,A7,'Pre-GO'!I5:I25,"In review")+COUNTIFS('Post-GO'!D5:D53,A7,'Post-GO'!I5:I53,"In review")+F7&gt;0,"In corso","Da fare")))</f>
        <v/>
      </c>
      <c r="H7" s="9" t="inlineStr">
        <is>
          <t>NARO</t>
        </is>
      </c>
      <c r="I7" s="9" t="inlineStr">
        <is>
          <t>N1</t>
        </is>
      </c>
      <c r="J7" s="10" t="inlineStr">
        <is>
          <t>T-201, T-202</t>
        </is>
      </c>
      <c r="K7" s="10" t="inlineStr">
        <is>
          <t>agents/tools/inventory_ecc.py, agents/assets/ecc-ledger.json, NOTICE</t>
        </is>
      </c>
      <c r="L7" s="10" t="inlineStr">
        <is>
          <t>PK-00</t>
        </is>
      </c>
      <c r="M7" s="10" t="inlineStr">
        <is>
          <t>PK-01, PK-04</t>
        </is>
      </c>
      <c r="N7" s="10" t="inlineStr">
        <is>
          <t>Owner di agents/assets/ = NARO.</t>
        </is>
      </c>
    </row>
    <row r="8" ht="62" customHeight="1">
      <c r="A8" s="11" t="inlineStr">
        <is>
          <t>PK-03</t>
        </is>
      </c>
      <c r="B8" s="9" t="inlineStr">
        <is>
          <t>Onda 1</t>
        </is>
      </c>
      <c r="C8" s="10" t="inlineStr">
        <is>
          <t>Revisione asset e matrice catena</t>
        </is>
      </c>
      <c r="D8" s="10" t="inlineStr">
        <is>
          <t>H-203, H-204</t>
        </is>
      </c>
      <c r="E8" s="9">
        <f>COUNTIF('Pre-GO'!D5:D25,A8)+COUNTIF('Post-GO'!D5:D53,A8)</f>
        <v/>
      </c>
      <c r="F8" s="9">
        <f>COUNTIFS('Pre-GO'!D5:D25,A8,'Pre-GO'!I5:I25,"Fatto")+COUNTIFS('Post-GO'!D5:D53,A8,'Post-GO'!I5:I53,"Fatto")</f>
        <v/>
      </c>
      <c r="G8" s="9">
        <f>IF(COUNTIFS('Pre-GO'!D5:D25,A8,'Pre-GO'!I5:I25,"Bloccato")+COUNTIFS('Post-GO'!D5:D53,A8,'Post-GO'!I5:I53,"Bloccato")&gt;0,"Bloccato",IF(F8=E8,"Fatto",IF(COUNTIFS('Pre-GO'!D5:D25,A8,'Pre-GO'!I5:I25,"In corso")+COUNTIFS('Post-GO'!D5:D53,A8,'Post-GO'!I5:I53,"In corso")+COUNTIFS('Pre-GO'!D5:D25,A8,'Pre-GO'!I5:I25,"In review")+COUNTIFS('Post-GO'!D5:D53,A8,'Post-GO'!I5:I53,"In review")+F8&gt;0,"In corso","Da fare")))</f>
        <v/>
      </c>
      <c r="H8" s="9" t="inlineStr">
        <is>
          <t>NARO</t>
        </is>
      </c>
      <c r="I8" s="9" t="inlineStr">
        <is>
          <t>N2</t>
        </is>
      </c>
      <c r="J8" s="10" t="inlineStr">
        <is>
          <t>T-204</t>
        </is>
      </c>
      <c r="K8" s="10" t="inlineStr">
        <is>
          <t>docs/ecc-review.md, docs/chain-matrix.md, agents/assets/chain-matrix.json</t>
        </is>
      </c>
      <c r="L8" s="10" t="inlineStr">
        <is>
          <t>PK-02</t>
        </is>
      </c>
      <c r="M8" s="10" t="inlineStr">
        <is>
          <t>PK-01, PK-05, PK-06</t>
        </is>
      </c>
      <c r="N8" s="10" t="inlineStr">
        <is>
          <t>Matrice da approvare dal SUPERVISORE.</t>
        </is>
      </c>
    </row>
    <row r="9" ht="62" customHeight="1">
      <c r="A9" s="11" t="inlineStr">
        <is>
          <t>PK-04</t>
        </is>
      </c>
      <c r="B9" s="9" t="inlineStr">
        <is>
          <t>Onda 1</t>
        </is>
      </c>
      <c r="C9" s="10" t="inlineStr">
        <is>
          <t>Import LIMET/CEREBRO nel monorepo (azione del SUPERVISORE)</t>
        </is>
      </c>
      <c r="D9" s="10" t="inlineStr">
        <is>
          <t>H-301</t>
        </is>
      </c>
      <c r="E9" s="9">
        <f>COUNTIF('Pre-GO'!D5:D25,A9)+COUNTIF('Post-GO'!D5:D53,A9)</f>
        <v/>
      </c>
      <c r="F9" s="9">
        <f>COUNTIFS('Pre-GO'!D5:D25,A9,'Pre-GO'!I5:I25,"Fatto")+COUNTIFS('Post-GO'!D5:D53,A9,'Post-GO'!I5:I53,"Fatto")</f>
        <v/>
      </c>
      <c r="G9" s="9">
        <f>IF(COUNTIFS('Pre-GO'!D5:D25,A9,'Pre-GO'!I5:I25,"Bloccato")+COUNTIFS('Post-GO'!D5:D53,A9,'Post-GO'!I5:I53,"Bloccato")&gt;0,"Bloccato",IF(F9=E9,"Fatto",IF(COUNTIFS('Pre-GO'!D5:D25,A9,'Pre-GO'!I5:I25,"In corso")+COUNTIFS('Post-GO'!D5:D53,A9,'Post-GO'!I5:I53,"In corso")+COUNTIFS('Pre-GO'!D5:D25,A9,'Pre-GO'!I5:I25,"In review")+COUNTIFS('Post-GO'!D5:D53,A9,'Post-GO'!I5:I53,"In review")+F9&gt;0,"In corso","Da fare")))</f>
        <v/>
      </c>
      <c r="H9" s="9" t="inlineStr">
        <is>
          <t>SUPERVISORE</t>
        </is>
      </c>
      <c r="I9" s="9" t="inlineStr">
        <is>
          <t>Commit/push del SUPERVISORE</t>
        </is>
      </c>
      <c r="J9" s="10" t="inlineStr">
        <is>
          <t>—</t>
        </is>
      </c>
      <c r="K9" s="10" t="inlineStr">
        <is>
          <t>limet/, cerebro/ (nuove cartelle di import)</t>
        </is>
      </c>
      <c r="L9" s="10" t="inlineStr">
        <is>
          <t>PK-00</t>
        </is>
      </c>
      <c r="M9" s="10" t="inlineStr">
        <is>
          <t>PK-01, PK-02, PK-03</t>
        </is>
      </c>
      <c r="N9" s="10" t="inlineStr">
        <is>
          <t>[N] Q-9 (remote/storia CEREBRO). Sblocca PK-05b, PK-06, PK-07. Nessun agente esegue commit/push.</t>
        </is>
      </c>
    </row>
    <row r="10" ht="62" customHeight="1">
      <c r="A10" s="11" t="inlineStr">
        <is>
          <t>PK-05</t>
        </is>
      </c>
      <c r="B10" s="9" t="inlineStr">
        <is>
          <t>Onda 1</t>
        </is>
      </c>
      <c r="C10" s="10" t="inlineStr">
        <is>
          <t>CI a matrice (3 OS)</t>
        </is>
      </c>
      <c r="D10" s="10" t="inlineStr">
        <is>
          <t>H-306</t>
        </is>
      </c>
      <c r="E10" s="9">
        <f>COUNTIF('Pre-GO'!D5:D25,A10)+COUNTIF('Post-GO'!D5:D53,A10)</f>
        <v/>
      </c>
      <c r="F10" s="9">
        <f>COUNTIFS('Pre-GO'!D5:D25,A10,'Pre-GO'!I5:I25,"Fatto")+COUNTIFS('Post-GO'!D5:D53,A10,'Post-GO'!I5:I53,"Fatto")</f>
        <v/>
      </c>
      <c r="G10" s="9">
        <f>IF(COUNTIFS('Pre-GO'!D5:D25,A10,'Pre-GO'!I5:I25,"Bloccato")+COUNTIFS('Post-GO'!D5:D53,A10,'Post-GO'!I5:I53,"Bloccato")&gt;0,"Bloccato",IF(F10=E10,"Fatto",IF(COUNTIFS('Pre-GO'!D5:D25,A10,'Pre-GO'!I5:I25,"In corso")+COUNTIFS('Post-GO'!D5:D53,A10,'Post-GO'!I5:I53,"In corso")+COUNTIFS('Pre-GO'!D5:D25,A10,'Pre-GO'!I5:I25,"In review")+COUNTIFS('Post-GO'!D5:D53,A10,'Post-GO'!I5:I53,"In review")+F10&gt;0,"In corso","Da fare")))</f>
        <v/>
      </c>
      <c r="H10" s="9" t="inlineStr">
        <is>
          <t>SCIBETTA</t>
        </is>
      </c>
      <c r="I10" s="9" t="inlineStr">
        <is>
          <t>S2</t>
        </is>
      </c>
      <c r="J10" s="10" t="inlineStr">
        <is>
          <t>T-306</t>
        </is>
      </c>
      <c r="K10" s="10" t="inlineStr">
        <is>
          <t>.github/workflows/ci.yml</t>
        </is>
      </c>
      <c r="L10" s="10" t="inlineStr">
        <is>
          <t>PK-00 (H-103) — avviabile subito</t>
        </is>
      </c>
      <c r="M10" s="10" t="inlineStr">
        <is>
          <t>PK-02, PK-03</t>
        </is>
      </c>
      <c r="N10" s="10" t="inlineStr">
        <is>
          <t>Dipende solo da H-103 (TASK_LIST). Va chiuso prima di PK-05b: entrambi toccano ci.yml, stessa persona.</t>
        </is>
      </c>
    </row>
    <row r="11" ht="62" customHeight="1">
      <c r="A11" s="11" t="inlineStr">
        <is>
          <t>PK-05b</t>
        </is>
      </c>
      <c r="B11" s="9" t="inlineStr">
        <is>
          <t>Onda 1 (dopo H-301)</t>
        </is>
      </c>
      <c r="C11" s="10" t="inlineStr">
        <is>
          <t>Segreti fuori dal repo</t>
        </is>
      </c>
      <c r="D11" s="10" t="inlineStr">
        <is>
          <t>H-302</t>
        </is>
      </c>
      <c r="E11" s="9">
        <f>COUNTIF('Pre-GO'!D5:D25,A11)+COUNTIF('Post-GO'!D5:D53,A11)</f>
        <v/>
      </c>
      <c r="F11" s="9">
        <f>COUNTIFS('Pre-GO'!D5:D25,A11,'Pre-GO'!I5:I25,"Fatto")+COUNTIFS('Post-GO'!D5:D53,A11,'Post-GO'!I5:I53,"Fatto")</f>
        <v/>
      </c>
      <c r="G11" s="9">
        <f>IF(COUNTIFS('Pre-GO'!D5:D25,A11,'Pre-GO'!I5:I25,"Bloccato")+COUNTIFS('Post-GO'!D5:D53,A11,'Post-GO'!I5:I53,"Bloccato")&gt;0,"Bloccato",IF(F11=E11,"Fatto",IF(COUNTIFS('Pre-GO'!D5:D25,A11,'Pre-GO'!I5:I25,"In corso")+COUNTIFS('Post-GO'!D5:D53,A11,'Post-GO'!I5:I53,"In corso")+COUNTIFS('Pre-GO'!D5:D25,A11,'Pre-GO'!I5:I25,"In review")+COUNTIFS('Post-GO'!D5:D53,A11,'Post-GO'!I5:I53,"In review")+F11&gt;0,"In corso","Da fare")))</f>
        <v/>
      </c>
      <c r="H11" s="9" t="inlineStr">
        <is>
          <t>SCIBETTA</t>
        </is>
      </c>
      <c r="I11" s="9" t="inlineStr">
        <is>
          <t>S2b</t>
        </is>
      </c>
      <c r="J11" s="10" t="inlineStr">
        <is>
          <t>T-302</t>
        </is>
      </c>
      <c r="K11" s="10" t="inlineStr">
        <is>
          <t>.gitignore, projects.example.json, .github/workflows/ci.yml (scansione segreti)</t>
        </is>
      </c>
      <c r="L11" s="10" t="inlineStr">
        <is>
          <t>PK-04 (H-301), PK-05</t>
        </is>
      </c>
      <c r="M11" s="10" t="inlineStr">
        <is>
          <t>PK-03, PK-06, PK-07</t>
        </is>
      </c>
      <c r="N11" s="10" t="inlineStr">
        <is>
          <t>Dipende da H-301. Tocca ci.yml dopo PK-05 (stessa persona). [N] percorso dello script di scansione segreti.</t>
        </is>
      </c>
    </row>
    <row r="12" ht="62" customHeight="1">
      <c r="A12" s="11" t="inlineStr">
        <is>
          <t>PK-06</t>
        </is>
      </c>
      <c r="B12" s="9" t="inlineStr">
        <is>
          <t>Onda 1 (dopo H-301)</t>
        </is>
      </c>
      <c r="C12" s="10" t="inlineStr">
        <is>
          <t>Shim compat e test confini</t>
        </is>
      </c>
      <c r="D12" s="10" t="inlineStr">
        <is>
          <t>H-304, H-305</t>
        </is>
      </c>
      <c r="E12" s="9">
        <f>COUNTIF('Pre-GO'!D5:D25,A12)+COUNTIF('Post-GO'!D5:D53,A12)</f>
        <v/>
      </c>
      <c r="F12" s="9">
        <f>COUNTIFS('Pre-GO'!D5:D25,A12,'Pre-GO'!I5:I25,"Fatto")+COUNTIFS('Post-GO'!D5:D53,A12,'Post-GO'!I5:I53,"Fatto")</f>
        <v/>
      </c>
      <c r="G12" s="9">
        <f>IF(COUNTIFS('Pre-GO'!D5:D25,A12,'Pre-GO'!I5:I25,"Bloccato")+COUNTIFS('Post-GO'!D5:D53,A12,'Post-GO'!I5:I53,"Bloccato")&gt;0,"Bloccato",IF(F12=E12,"Fatto",IF(COUNTIFS('Pre-GO'!D5:D25,A12,'Pre-GO'!I5:I25,"In corso")+COUNTIFS('Post-GO'!D5:D53,A12,'Post-GO'!I5:I53,"In corso")+COUNTIFS('Pre-GO'!D5:D25,A12,'Pre-GO'!I5:I25,"In review")+COUNTIFS('Post-GO'!D5:D53,A12,'Post-GO'!I5:I53,"In review")+F12&gt;0,"In corso","Da fare")))</f>
        <v/>
      </c>
      <c r="H12" s="9" t="inlineStr">
        <is>
          <t>SCIBETTA</t>
        </is>
      </c>
      <c r="I12" s="9" t="inlineStr">
        <is>
          <t>S3</t>
        </is>
      </c>
      <c r="J12" s="10" t="inlineStr">
        <is>
          <t>T-304, T-305</t>
        </is>
      </c>
      <c r="K12" s="10" t="inlineStr">
        <is>
          <t>compat/, tests/test_module_boundaries.py</t>
        </is>
      </c>
      <c r="L12" s="10" t="inlineStr">
        <is>
          <t>PK-04 (H-301)</t>
        </is>
      </c>
      <c r="M12" s="10" t="inlineStr">
        <is>
          <t>PK-03, PK-07</t>
        </is>
      </c>
      <c r="N12" s="10" t="inlineStr">
        <is>
          <t>Dipendono da H-301. Parità su Windows e Unix (C13).</t>
        </is>
      </c>
    </row>
    <row r="13" ht="62" customHeight="1">
      <c r="A13" s="11" t="inlineStr">
        <is>
          <t>PK-07</t>
        </is>
      </c>
      <c r="B13" s="9" t="inlineStr">
        <is>
          <t>Onda 1 (dopo H-301)</t>
        </is>
      </c>
      <c r="C13" s="10" t="inlineStr">
        <is>
          <t>Correzione percorso CEREBRO in CLAUDE.md</t>
        </is>
      </c>
      <c r="D13" s="10" t="inlineStr">
        <is>
          <t>H-307</t>
        </is>
      </c>
      <c r="E13" s="9">
        <f>COUNTIF('Pre-GO'!D5:D25,A13)+COUNTIF('Post-GO'!D5:D53,A13)</f>
        <v/>
      </c>
      <c r="F13" s="9">
        <f>COUNTIFS('Pre-GO'!D5:D25,A13,'Pre-GO'!I5:I25,"Fatto")+COUNTIFS('Post-GO'!D5:D53,A13,'Post-GO'!I5:I53,"Fatto")</f>
        <v/>
      </c>
      <c r="G13" s="9">
        <f>IF(COUNTIFS('Pre-GO'!D5:D25,A13,'Pre-GO'!I5:I25,"Bloccato")+COUNTIFS('Post-GO'!D5:D53,A13,'Post-GO'!I5:I53,"Bloccato")&gt;0,"Bloccato",IF(F13=E13,"Fatto",IF(COUNTIFS('Pre-GO'!D5:D25,A13,'Pre-GO'!I5:I25,"In corso")+COUNTIFS('Post-GO'!D5:D53,A13,'Post-GO'!I5:I53,"In corso")+COUNTIFS('Pre-GO'!D5:D25,A13,'Pre-GO'!I5:I25,"In review")+COUNTIFS('Post-GO'!D5:D53,A13,'Post-GO'!I5:I53,"In review")+F13&gt;0,"In corso","Da fare")))</f>
        <v/>
      </c>
      <c r="H13" s="9" t="inlineStr">
        <is>
          <t>NARO</t>
        </is>
      </c>
      <c r="I13" s="9" t="inlineStr">
        <is>
          <t>N3</t>
        </is>
      </c>
      <c r="J13" s="10" t="inlineStr">
        <is>
          <t>—</t>
        </is>
      </c>
      <c r="K13" s="10" t="inlineStr">
        <is>
          <t>cerebro/CLAUDE.md [P: copia interna]</t>
        </is>
      </c>
      <c r="L13" s="10" t="inlineStr">
        <is>
          <t>PK-04</t>
        </is>
      </c>
      <c r="M13" s="10" t="inlineStr">
        <is>
          <t>PK-05, PK-06</t>
        </is>
      </c>
      <c r="N13" s="10" t="inlineStr">
        <is>
          <t>[N] percorso esatto del file nella copia importata.</t>
        </is>
      </c>
    </row>
    <row r="14" ht="62" customHeight="1">
      <c r="A14" s="11" t="inlineStr">
        <is>
          <t>PK-08</t>
        </is>
      </c>
      <c r="B14" s="9" t="inlineStr">
        <is>
          <t>Onda 2</t>
        </is>
      </c>
      <c r="C14" s="10" t="inlineStr">
        <is>
          <t>Runner con allowlist e policy permessi</t>
        </is>
      </c>
      <c r="D14" s="10" t="inlineStr">
        <is>
          <t>H-401, H-404</t>
        </is>
      </c>
      <c r="E14" s="9">
        <f>COUNTIF('Pre-GO'!D5:D25,A14)+COUNTIF('Post-GO'!D5:D53,A14)</f>
        <v/>
      </c>
      <c r="F14" s="9">
        <f>COUNTIFS('Pre-GO'!D5:D25,A14,'Pre-GO'!I5:I25,"Fatto")+COUNTIFS('Post-GO'!D5:D53,A14,'Post-GO'!I5:I53,"Fatto")</f>
        <v/>
      </c>
      <c r="G14" s="9">
        <f>IF(COUNTIFS('Pre-GO'!D5:D25,A14,'Pre-GO'!I5:I25,"Bloccato")+COUNTIFS('Post-GO'!D5:D53,A14,'Post-GO'!I5:I53,"Bloccato")&gt;0,"Bloccato",IF(F14=E14,"Fatto",IF(COUNTIFS('Pre-GO'!D5:D25,A14,'Pre-GO'!I5:I25,"In corso")+COUNTIFS('Post-GO'!D5:D53,A14,'Post-GO'!I5:I53,"In corso")+COUNTIFS('Pre-GO'!D5:D25,A14,'Pre-GO'!I5:I25,"In review")+COUNTIFS('Post-GO'!D5:D53,A14,'Post-GO'!I5:I53,"In review")+F14&gt;0,"In corso","Da fare")))</f>
        <v/>
      </c>
      <c r="H14" s="9" t="inlineStr">
        <is>
          <t>SCIBETTA</t>
        </is>
      </c>
      <c r="I14" s="9" t="inlineStr">
        <is>
          <t>S4</t>
        </is>
      </c>
      <c r="J14" s="10" t="inlineStr">
        <is>
          <t>T-401, T-402, T-405</t>
        </is>
      </c>
      <c r="K14" s="10" t="inlineStr">
        <is>
          <t>agents/runner/, agents/policy/policy.json, agents/policy/floor.json</t>
        </is>
      </c>
      <c r="L14" s="10" t="inlineStr">
        <is>
          <t>PK-01, PK-05, PK-05b, PK-06, PK-07 (Fase 3 chiusa)</t>
        </is>
      </c>
      <c r="M14" s="10" t="inlineStr">
        <is>
          <t>PK-10, PK-11</t>
        </is>
      </c>
      <c r="N14" s="10" t="inlineStr">
        <is>
          <t>Output del runner = contratto di PK-01 (sola lettura per NARO).</t>
        </is>
      </c>
    </row>
    <row r="15" ht="62" customHeight="1">
      <c r="A15" s="11" t="inlineStr">
        <is>
          <t>PK-09</t>
        </is>
      </c>
      <c r="B15" s="9" t="inlineStr">
        <is>
          <t>Onda 2</t>
        </is>
      </c>
      <c r="C15" s="10" t="inlineStr">
        <is>
          <t>Ruoli PoC (analyst, developer, reviewer)</t>
        </is>
      </c>
      <c r="D15" s="10" t="inlineStr">
        <is>
          <t>H-402</t>
        </is>
      </c>
      <c r="E15" s="9">
        <f>COUNTIF('Pre-GO'!D5:D25,A15)+COUNTIF('Post-GO'!D5:D53,A15)</f>
        <v/>
      </c>
      <c r="F15" s="9">
        <f>COUNTIFS('Pre-GO'!D5:D25,A15,'Pre-GO'!I5:I25,"Fatto")+COUNTIFS('Post-GO'!D5:D53,A15,'Post-GO'!I5:I53,"Fatto")</f>
        <v/>
      </c>
      <c r="G15" s="9">
        <f>IF(COUNTIFS('Pre-GO'!D5:D25,A15,'Pre-GO'!I5:I25,"Bloccato")+COUNTIFS('Post-GO'!D5:D53,A15,'Post-GO'!I5:I53,"Bloccato")&gt;0,"Bloccato",IF(F15=E15,"Fatto",IF(COUNTIFS('Pre-GO'!D5:D25,A15,'Pre-GO'!I5:I25,"In corso")+COUNTIFS('Post-GO'!D5:D53,A15,'Post-GO'!I5:I53,"In corso")+COUNTIFS('Pre-GO'!D5:D25,A15,'Pre-GO'!I5:I25,"In review")+COUNTIFS('Post-GO'!D5:D53,A15,'Post-GO'!I5:I53,"In review")+F15&gt;0,"In corso","Da fare")))</f>
        <v/>
      </c>
      <c r="H15" s="9" t="inlineStr">
        <is>
          <t>SCIBETTA</t>
        </is>
      </c>
      <c r="I15" s="9" t="inlineStr">
        <is>
          <t>S5</t>
        </is>
      </c>
      <c r="J15" s="10" t="inlineStr">
        <is>
          <t>T-403</t>
        </is>
      </c>
      <c r="K15" s="10" t="inlineStr">
        <is>
          <t>agents/roles/*.md</t>
        </is>
      </c>
      <c r="L15" s="10" t="inlineStr">
        <is>
          <t>PK-08 (H-404), PK-01</t>
        </is>
      </c>
      <c r="M15" s="10" t="inlineStr">
        <is>
          <t>PK-10, PK-11</t>
        </is>
      </c>
      <c r="N15" s="10" t="inlineStr">
        <is>
          <t>Nessun Bash libero nei tools.</t>
        </is>
      </c>
    </row>
    <row r="16" ht="62" customHeight="1">
      <c r="A16" s="11" t="inlineStr">
        <is>
          <t>PK-10</t>
        </is>
      </c>
      <c r="B16" s="9" t="inlineStr">
        <is>
          <t>Onda 2</t>
        </is>
      </c>
      <c r="C16" s="10" t="inlineStr">
        <is>
          <t>Gate umano meccanico sul PLAN</t>
        </is>
      </c>
      <c r="D16" s="10" t="inlineStr">
        <is>
          <t>H-403</t>
        </is>
      </c>
      <c r="E16" s="9">
        <f>COUNTIF('Pre-GO'!D5:D25,A16)+COUNTIF('Post-GO'!D5:D53,A16)</f>
        <v/>
      </c>
      <c r="F16" s="9">
        <f>COUNTIFS('Pre-GO'!D5:D25,A16,'Pre-GO'!I5:I25,"Fatto")+COUNTIFS('Post-GO'!D5:D53,A16,'Post-GO'!I5:I53,"Fatto")</f>
        <v/>
      </c>
      <c r="G16" s="9">
        <f>IF(COUNTIFS('Pre-GO'!D5:D25,A16,'Pre-GO'!I5:I25,"Bloccato")+COUNTIFS('Post-GO'!D5:D53,A16,'Post-GO'!I5:I53,"Bloccato")&gt;0,"Bloccato",IF(F16=E16,"Fatto",IF(COUNTIFS('Pre-GO'!D5:D25,A16,'Pre-GO'!I5:I25,"In corso")+COUNTIFS('Post-GO'!D5:D53,A16,'Post-GO'!I5:I53,"In corso")+COUNTIFS('Pre-GO'!D5:D25,A16,'Pre-GO'!I5:I25,"In review")+COUNTIFS('Post-GO'!D5:D53,A16,'Post-GO'!I5:I53,"In review")+F16&gt;0,"In corso","Da fare")))</f>
        <v/>
      </c>
      <c r="H16" s="9" t="inlineStr">
        <is>
          <t>NARO</t>
        </is>
      </c>
      <c r="I16" s="9" t="inlineStr">
        <is>
          <t>N4</t>
        </is>
      </c>
      <c r="J16" s="10" t="inlineStr">
        <is>
          <t>T-404</t>
        </is>
      </c>
      <c r="K16" s="10" t="inlineStr">
        <is>
          <t>agents/workflow/gate.py</t>
        </is>
      </c>
      <c r="L16" s="10" t="inlineStr">
        <is>
          <t>PK-01</t>
        </is>
      </c>
      <c r="M16" s="10" t="inlineStr">
        <is>
          <t>PK-08, PK-09, PK-11</t>
        </is>
      </c>
      <c r="N16" s="10" t="inlineStr">
        <is>
          <t>Approvazione solo da sessione umana (C24).</t>
        </is>
      </c>
    </row>
    <row r="17" ht="62" customHeight="1">
      <c r="A17" s="11" t="inlineStr">
        <is>
          <t>PK-11</t>
        </is>
      </c>
      <c r="B17" s="9" t="inlineStr">
        <is>
          <t>Onda 2</t>
        </is>
      </c>
      <c r="C17" s="10" t="inlineStr">
        <is>
          <t>Prova del plugin Claude Code (V13/V14)</t>
        </is>
      </c>
      <c r="D17" s="10" t="inlineStr">
        <is>
          <t>H-407</t>
        </is>
      </c>
      <c r="E17" s="9">
        <f>COUNTIF('Pre-GO'!D5:D25,A17)+COUNTIF('Post-GO'!D5:D53,A17)</f>
        <v/>
      </c>
      <c r="F17" s="9">
        <f>COUNTIFS('Pre-GO'!D5:D25,A17,'Pre-GO'!I5:I25,"Fatto")+COUNTIFS('Post-GO'!D5:D53,A17,'Post-GO'!I5:I53,"Fatto")</f>
        <v/>
      </c>
      <c r="G17" s="9">
        <f>IF(COUNTIFS('Pre-GO'!D5:D25,A17,'Pre-GO'!I5:I25,"Bloccato")+COUNTIFS('Post-GO'!D5:D53,A17,'Post-GO'!I5:I53,"Bloccato")&gt;0,"Bloccato",IF(F17=E17,"Fatto",IF(COUNTIFS('Pre-GO'!D5:D25,A17,'Pre-GO'!I5:I25,"In corso")+COUNTIFS('Post-GO'!D5:D53,A17,'Post-GO'!I5:I53,"In corso")+COUNTIFS('Pre-GO'!D5:D25,A17,'Pre-GO'!I5:I25,"In review")+COUNTIFS('Post-GO'!D5:D53,A17,'Post-GO'!I5:I53,"In review")+F17&gt;0,"In corso","Da fare")))</f>
        <v/>
      </c>
      <c r="H17" s="9" t="inlineStr">
        <is>
          <t>NARO</t>
        </is>
      </c>
      <c r="I17" s="9" t="inlineStr">
        <is>
          <t>N5</t>
        </is>
      </c>
      <c r="J17" s="10" t="inlineStr">
        <is>
          <t>T-407</t>
        </is>
      </c>
      <c r="K17" s="10" t="inlineStr">
        <is>
          <t>agents/plugin/</t>
        </is>
      </c>
      <c r="L17" s="10" t="inlineStr">
        <is>
          <t>PK-01</t>
        </is>
      </c>
      <c r="M17" s="10" t="inlineStr">
        <is>
          <t>PK-08, PK-09, PK-10</t>
        </is>
      </c>
      <c r="N17" s="10" t="inlineStr">
        <is>
          <t>[N] sintassi Dynamic Workflow in Claude Code 2.1.311; se non riconosciuto: piano B in poc-report.md.</t>
        </is>
      </c>
    </row>
    <row r="18" ht="62" customHeight="1">
      <c r="A18" s="11" t="inlineStr">
        <is>
          <t>PK-12</t>
        </is>
      </c>
      <c r="B18" s="9" t="inlineStr">
        <is>
          <t>Onda 2</t>
        </is>
      </c>
      <c r="C18" s="10" t="inlineStr">
        <is>
          <t>Asset ECC portato + A/B</t>
        </is>
      </c>
      <c r="D18" s="10" t="inlineStr">
        <is>
          <t>H-405</t>
        </is>
      </c>
      <c r="E18" s="9">
        <f>COUNTIF('Pre-GO'!D5:D25,A18)+COUNTIF('Post-GO'!D5:D53,A18)</f>
        <v/>
      </c>
      <c r="F18" s="9">
        <f>COUNTIFS('Pre-GO'!D5:D25,A18,'Pre-GO'!I5:I25,"Fatto")+COUNTIFS('Post-GO'!D5:D53,A18,'Post-GO'!I5:I53,"Fatto")</f>
        <v/>
      </c>
      <c r="G18" s="9">
        <f>IF(COUNTIFS('Pre-GO'!D5:D25,A18,'Pre-GO'!I5:I25,"Bloccato")+COUNTIFS('Post-GO'!D5:D53,A18,'Post-GO'!I5:I53,"Bloccato")&gt;0,"Bloccato",IF(F18=E18,"Fatto",IF(COUNTIFS('Pre-GO'!D5:D25,A18,'Pre-GO'!I5:I25,"In corso")+COUNTIFS('Post-GO'!D5:D53,A18,'Post-GO'!I5:I53,"In corso")+COUNTIFS('Pre-GO'!D5:D25,A18,'Pre-GO'!I5:I25,"In review")+COUNTIFS('Post-GO'!D5:D53,A18,'Post-GO'!I5:I53,"In review")+F18&gt;0,"In corso","Da fare")))</f>
        <v/>
      </c>
      <c r="H18" s="9" t="inlineStr">
        <is>
          <t>SCIBETTA</t>
        </is>
      </c>
      <c r="I18" s="9" t="inlineStr">
        <is>
          <t>S6</t>
        </is>
      </c>
      <c r="J18" s="10" t="inlineStr">
        <is>
          <t>T-406</t>
        </is>
      </c>
      <c r="K18" s="10" t="inlineStr">
        <is>
          <t>tests/test_ab_metrics.py, [N] cartella dell'asset ecc-code-reviewer</t>
        </is>
      </c>
      <c r="L18" s="10" t="inlineStr">
        <is>
          <t>PK-08, PK-09</t>
        </is>
      </c>
      <c r="M18" s="10" t="inlineStr">
        <is>
          <t>PK-11</t>
        </is>
      </c>
      <c r="N18" s="10" t="inlineStr">
        <is>
          <t>D1–D10 approvati (Q-6); pilota in test\ (Q-5).</t>
        </is>
      </c>
    </row>
    <row r="19" ht="62" customHeight="1">
      <c r="A19" s="11" t="inlineStr">
        <is>
          <t>PK-13</t>
        </is>
      </c>
      <c r="B19" s="9" t="inlineStr">
        <is>
          <t>Onda 2</t>
        </is>
      </c>
      <c r="C19" s="10" t="inlineStr">
        <is>
          <t>Rapporto go/no-go (compila NARO, decide il SUPERVISORE)</t>
        </is>
      </c>
      <c r="D19" s="10" t="inlineStr">
        <is>
          <t>H-406</t>
        </is>
      </c>
      <c r="E19" s="9">
        <f>COUNTIF('Pre-GO'!D5:D25,A19)+COUNTIF('Post-GO'!D5:D53,A19)</f>
        <v/>
      </c>
      <c r="F19" s="9">
        <f>COUNTIFS('Pre-GO'!D5:D25,A19,'Pre-GO'!I5:I25,"Fatto")+COUNTIFS('Post-GO'!D5:D53,A19,'Post-GO'!I5:I53,"Fatto")</f>
        <v/>
      </c>
      <c r="G19" s="9">
        <f>IF(COUNTIFS('Pre-GO'!D5:D25,A19,'Pre-GO'!I5:I25,"Bloccato")+COUNTIFS('Post-GO'!D5:D53,A19,'Post-GO'!I5:I53,"Bloccato")&gt;0,"Bloccato",IF(F19=E19,"Fatto",IF(COUNTIFS('Pre-GO'!D5:D25,A19,'Pre-GO'!I5:I25,"In corso")+COUNTIFS('Post-GO'!D5:D53,A19,'Post-GO'!I5:I53,"In corso")+COUNTIFS('Pre-GO'!D5:D25,A19,'Pre-GO'!I5:I25,"In review")+COUNTIFS('Post-GO'!D5:D53,A19,'Post-GO'!I5:I53,"In review")+F19&gt;0,"In corso","Da fare")))</f>
        <v/>
      </c>
      <c r="H19" s="9" t="inlineStr">
        <is>
          <t>NARO</t>
        </is>
      </c>
      <c r="I19" s="9" t="inlineStr">
        <is>
          <t>N6</t>
        </is>
      </c>
      <c r="J19" s="10" t="inlineStr">
        <is>
          <t>—</t>
        </is>
      </c>
      <c r="K19" s="10" t="inlineStr">
        <is>
          <t>docs/poc-report.md</t>
        </is>
      </c>
      <c r="L19" s="10" t="inlineStr">
        <is>
          <t>PK-08…PK-12</t>
        </is>
      </c>
      <c r="M19" s="10" t="inlineStr">
        <is>
          <t>—</t>
        </is>
      </c>
      <c r="N19" s="10" t="inlineStr">
        <is>
          <t>PUNTO DI DECISIONE: GO / NO-GO / piano B. Le Onde 3+ partono solo dopo GO.</t>
        </is>
      </c>
    </row>
    <row r="20" ht="62" customHeight="1">
      <c r="A20" s="11" t="inlineStr">
        <is>
          <t>PK-14</t>
        </is>
      </c>
      <c r="B20" s="9" t="inlineStr">
        <is>
          <t>Onda 3 (dopo GO)</t>
        </is>
      </c>
      <c r="C20" s="10" t="inlineStr">
        <is>
          <t>Contratti della catena e skill runner</t>
        </is>
      </c>
      <c r="D20" s="10" t="inlineStr">
        <is>
          <t>H-308, H-409</t>
        </is>
      </c>
      <c r="E20" s="9">
        <f>COUNTIF('Pre-GO'!D5:D25,A20)+COUNTIF('Post-GO'!D5:D53,A20)</f>
        <v/>
      </c>
      <c r="F20" s="9">
        <f>COUNTIFS('Pre-GO'!D5:D25,A20,'Pre-GO'!I5:I25,"Fatto")+COUNTIFS('Post-GO'!D5:D53,A20,'Post-GO'!I5:I53,"Fatto")</f>
        <v/>
      </c>
      <c r="G20" s="9">
        <f>IF(COUNTIFS('Pre-GO'!D5:D25,A20,'Pre-GO'!I5:I25,"Bloccato")+COUNTIFS('Post-GO'!D5:D53,A20,'Post-GO'!I5:I53,"Bloccato")&gt;0,"Bloccato",IF(F20=E20,"Fatto",IF(COUNTIFS('Pre-GO'!D5:D25,A20,'Pre-GO'!I5:I25,"In corso")+COUNTIFS('Post-GO'!D5:D53,A20,'Post-GO'!I5:I53,"In corso")+COUNTIFS('Pre-GO'!D5:D25,A20,'Pre-GO'!I5:I25,"In review")+COUNTIFS('Post-GO'!D5:D53,A20,'Post-GO'!I5:I53,"In review")+F20&gt;0,"In corso","Da fare")))</f>
        <v/>
      </c>
      <c r="H20" s="9" t="inlineStr">
        <is>
          <t>SCIBETTA</t>
        </is>
      </c>
      <c r="I20" s="9" t="inlineStr">
        <is>
          <t>S7</t>
        </is>
      </c>
      <c r="J20" s="10" t="inlineStr">
        <is>
          <t>T-308, T-409</t>
        </is>
      </c>
      <c r="K20" s="10" t="inlineStr">
        <is>
          <t>agents/contracts/ (nuovi schemi), agents/plugin/skills/limet-runner/</t>
        </is>
      </c>
      <c r="L20" s="10" t="inlineStr">
        <is>
          <t>GO; PK-08</t>
        </is>
      </c>
      <c r="M20" s="10" t="inlineStr">
        <is>
          <t>PK-15</t>
        </is>
      </c>
      <c r="N20" s="10" t="inlineStr">
        <is>
          <t>Sblocca PK-16 e i ruoli (sync point).</t>
        </is>
      </c>
    </row>
    <row r="21" ht="62" customHeight="1">
      <c r="A21" s="11" t="inlineStr">
        <is>
          <t>PK-15</t>
        </is>
      </c>
      <c r="B21" s="9" t="inlineStr">
        <is>
          <t>Onda 3 (dopo GO)</t>
        </is>
      </c>
      <c r="C21" s="10" t="inlineStr">
        <is>
          <t>Scheduler e regole comuni dei ruoli</t>
        </is>
      </c>
      <c r="D21" s="10" t="inlineStr">
        <is>
          <t>H-408, H-611</t>
        </is>
      </c>
      <c r="E21" s="9">
        <f>COUNTIF('Pre-GO'!D5:D25,A21)+COUNTIF('Post-GO'!D5:D53,A21)</f>
        <v/>
      </c>
      <c r="F21" s="9">
        <f>COUNTIFS('Pre-GO'!D5:D25,A21,'Pre-GO'!I5:I25,"Fatto")+COUNTIFS('Post-GO'!D5:D53,A21,'Post-GO'!I5:I53,"Fatto")</f>
        <v/>
      </c>
      <c r="G21" s="9">
        <f>IF(COUNTIFS('Pre-GO'!D5:D25,A21,'Pre-GO'!I5:I25,"Bloccato")+COUNTIFS('Post-GO'!D5:D53,A21,'Post-GO'!I5:I53,"Bloccato")&gt;0,"Bloccato",IF(F21=E21,"Fatto",IF(COUNTIFS('Pre-GO'!D5:D25,A21,'Pre-GO'!I5:I25,"In corso")+COUNTIFS('Post-GO'!D5:D53,A21,'Post-GO'!I5:I53,"In corso")+COUNTIFS('Pre-GO'!D5:D25,A21,'Pre-GO'!I5:I25,"In review")+COUNTIFS('Post-GO'!D5:D53,A21,'Post-GO'!I5:I53,"In review")+F21&gt;0,"In corso","Da fare")))</f>
        <v/>
      </c>
      <c r="H21" s="9" t="inlineStr">
        <is>
          <t>NARO</t>
        </is>
      </c>
      <c r="I21" s="9" t="inlineStr">
        <is>
          <t>N7</t>
        </is>
      </c>
      <c r="J21" s="10" t="inlineStr">
        <is>
          <t>T-408, T-610</t>
        </is>
      </c>
      <c r="K21" s="10" t="inlineStr">
        <is>
          <t>agents/plugin/scheduler/, agents/plugin/agents/_common.md</t>
        </is>
      </c>
      <c r="L21" s="10" t="inlineStr">
        <is>
          <t>GO; PK-08</t>
        </is>
      </c>
      <c r="M21" s="10" t="inlineStr">
        <is>
          <t>PK-14</t>
        </is>
      </c>
      <c r="N21" s="10" t="inlineStr">
        <is>
          <t>_common.md: owner NARO, sola lettura per SCIBETTA.</t>
        </is>
      </c>
    </row>
    <row r="22" ht="62" customHeight="1">
      <c r="A22" s="11" t="inlineStr">
        <is>
          <t>PK-16</t>
        </is>
      </c>
      <c r="B22" s="9" t="inlineStr">
        <is>
          <t>Onda 4 (dopo GO)</t>
        </is>
      </c>
      <c r="C22" s="10" t="inlineStr">
        <is>
          <t>Porting asset ECC</t>
        </is>
      </c>
      <c r="D22" s="10" t="inlineStr">
        <is>
          <t>H-501, H-502, H-503</t>
        </is>
      </c>
      <c r="E22" s="9">
        <f>COUNTIF('Pre-GO'!D5:D25,A22)+COUNTIF('Post-GO'!D5:D53,A22)</f>
        <v/>
      </c>
      <c r="F22" s="9">
        <f>COUNTIFS('Pre-GO'!D5:D25,A22,'Pre-GO'!I5:I25,"Fatto")+COUNTIFS('Post-GO'!D5:D53,A22,'Post-GO'!I5:I53,"Fatto")</f>
        <v/>
      </c>
      <c r="G22" s="9">
        <f>IF(COUNTIFS('Pre-GO'!D5:D25,A22,'Pre-GO'!I5:I25,"Bloccato")+COUNTIFS('Post-GO'!D5:D53,A22,'Post-GO'!I5:I53,"Bloccato")&gt;0,"Bloccato",IF(F22=E22,"Fatto",IF(COUNTIFS('Pre-GO'!D5:D25,A22,'Pre-GO'!I5:I25,"In corso")+COUNTIFS('Post-GO'!D5:D53,A22,'Post-GO'!I5:I53,"In corso")+COUNTIFS('Pre-GO'!D5:D25,A22,'Pre-GO'!I5:I25,"In review")+COUNTIFS('Post-GO'!D5:D53,A22,'Post-GO'!I5:I53,"In review")+F22&gt;0,"In corso","Da fare")))</f>
        <v/>
      </c>
      <c r="H22" s="9" t="inlineStr">
        <is>
          <t>NARO</t>
        </is>
      </c>
      <c r="I22" s="9" t="inlineStr">
        <is>
          <t>N8</t>
        </is>
      </c>
      <c r="J22" s="10" t="inlineStr">
        <is>
          <t>T-501, T-502, T-503</t>
        </is>
      </c>
      <c r="K22" s="10" t="inlineStr">
        <is>
          <t>agents/assets/ (ecc-*), test di agnosticità</t>
        </is>
      </c>
      <c r="L22" s="10" t="inlineStr">
        <is>
          <t>PK-03, PK-14</t>
        </is>
      </c>
      <c r="M22" s="10" t="inlineStr">
        <is>
          <t>PK-17</t>
        </is>
      </c>
      <c r="N22" s="10" t="inlineStr">
        <is>
          <t>Aspetta H-308 (PK-14).</t>
        </is>
      </c>
    </row>
    <row r="23" ht="62" customHeight="1">
      <c r="A23" s="11" t="inlineStr">
        <is>
          <t>PK-17</t>
        </is>
      </c>
      <c r="B23" s="9" t="inlineStr">
        <is>
          <t>Onda 4 (dopo GO)</t>
        </is>
      </c>
      <c r="C23" s="10" t="inlineStr">
        <is>
          <t>Ruoli di sviluppo</t>
        </is>
      </c>
      <c r="D23" s="10" t="inlineStr">
        <is>
          <t>H-602, H-603, H-604, H-605</t>
        </is>
      </c>
      <c r="E23" s="9">
        <f>COUNTIF('Pre-GO'!D5:D25,A23)+COUNTIF('Post-GO'!D5:D53,A23)</f>
        <v/>
      </c>
      <c r="F23" s="9">
        <f>COUNTIFS('Pre-GO'!D5:D25,A23,'Pre-GO'!I5:I25,"Fatto")+COUNTIFS('Post-GO'!D5:D53,A23,'Post-GO'!I5:I53,"Fatto")</f>
        <v/>
      </c>
      <c r="G23" s="9">
        <f>IF(COUNTIFS('Pre-GO'!D5:D25,A23,'Pre-GO'!I5:I25,"Bloccato")+COUNTIFS('Post-GO'!D5:D53,A23,'Post-GO'!I5:I53,"Bloccato")&gt;0,"Bloccato",IF(F23=E23,"Fatto",IF(COUNTIFS('Pre-GO'!D5:D25,A23,'Pre-GO'!I5:I25,"In corso")+COUNTIFS('Post-GO'!D5:D53,A23,'Post-GO'!I5:I53,"In corso")+COUNTIFS('Pre-GO'!D5:D25,A23,'Pre-GO'!I5:I25,"In review")+COUNTIFS('Post-GO'!D5:D53,A23,'Post-GO'!I5:I53,"In review")+F23&gt;0,"In corso","Da fare")))</f>
        <v/>
      </c>
      <c r="H23" s="9" t="inlineStr">
        <is>
          <t>SCIBETTA</t>
        </is>
      </c>
      <c r="I23" s="9" t="inlineStr">
        <is>
          <t>S8</t>
        </is>
      </c>
      <c r="J23" s="10" t="inlineStr">
        <is>
          <t>T-601, T-602, T-603, T-604</t>
        </is>
      </c>
      <c r="K23" s="10" t="inlineStr">
        <is>
          <t>agents/plugin/agents/{analyst,developer,tester,integrator}.md</t>
        </is>
      </c>
      <c r="L23" s="10" t="inlineStr">
        <is>
          <t>PK-14, PK-15, PK-09</t>
        </is>
      </c>
      <c r="M23" s="10" t="inlineStr">
        <is>
          <t>PK-16, PK-18</t>
        </is>
      </c>
      <c r="N23" s="10" t="inlineStr">
        <is>
          <t>Stessa cartella di PK-18 ma file distinti.</t>
        </is>
      </c>
    </row>
    <row r="24" ht="62" customHeight="1">
      <c r="A24" s="11" t="inlineStr">
        <is>
          <t>PK-18</t>
        </is>
      </c>
      <c r="B24" s="9" t="inlineStr">
        <is>
          <t>Onda 4 (dopo GO)</t>
        </is>
      </c>
      <c r="C24" s="10" t="inlineStr">
        <is>
          <t>Ruoli di controllo</t>
        </is>
      </c>
      <c r="D24" s="10" t="inlineStr">
        <is>
          <t>H-606, H-607, H-608, H-609, H-610, H-601</t>
        </is>
      </c>
      <c r="E24" s="9">
        <f>COUNTIF('Pre-GO'!D5:D25,A24)+COUNTIF('Post-GO'!D5:D53,A24)</f>
        <v/>
      </c>
      <c r="F24" s="9">
        <f>COUNTIFS('Pre-GO'!D5:D25,A24,'Pre-GO'!I5:I25,"Fatto")+COUNTIFS('Post-GO'!D5:D53,A24,'Post-GO'!I5:I53,"Fatto")</f>
        <v/>
      </c>
      <c r="G24" s="9">
        <f>IF(COUNTIFS('Pre-GO'!D5:D25,A24,'Pre-GO'!I5:I25,"Bloccato")+COUNTIFS('Post-GO'!D5:D53,A24,'Post-GO'!I5:I53,"Bloccato")&gt;0,"Bloccato",IF(F24=E24,"Fatto",IF(COUNTIFS('Pre-GO'!D5:D25,A24,'Pre-GO'!I5:I25,"In corso")+COUNTIFS('Post-GO'!D5:D53,A24,'Post-GO'!I5:I53,"In corso")+COUNTIFS('Pre-GO'!D5:D25,A24,'Pre-GO'!I5:I25,"In review")+COUNTIFS('Post-GO'!D5:D53,A24,'Post-GO'!I5:I53,"In review")+F24&gt;0,"In corso","Da fare")))</f>
        <v/>
      </c>
      <c r="H24" s="9" t="inlineStr">
        <is>
          <t>NARO</t>
        </is>
      </c>
      <c r="I24" s="9" t="inlineStr">
        <is>
          <t>N9</t>
        </is>
      </c>
      <c r="J24" s="10" t="inlineStr">
        <is>
          <t>T-605, T-606, T-607, T-608, T-609, T-403</t>
        </is>
      </c>
      <c r="K24" s="10" t="inlineStr">
        <is>
          <t>agents/plugin/agents/{test-reader,reviewer,validator,metrics-observer,e2e-designer,e2e-reader}.md, agents/metrics/</t>
        </is>
      </c>
      <c r="L24" s="10" t="inlineStr">
        <is>
          <t>PK-14, PK-15, PK-09</t>
        </is>
      </c>
      <c r="M24" s="10" t="inlineStr">
        <is>
          <t>PK-17</t>
        </is>
      </c>
      <c r="N24" s="10" t="inlineStr">
        <is>
          <t>Stessa cartella di PK-17 ma file distinti.</t>
        </is>
      </c>
    </row>
    <row r="25" ht="62" customHeight="1">
      <c r="A25" s="11" t="inlineStr">
        <is>
          <t>PK-19</t>
        </is>
      </c>
      <c r="B25" s="9" t="inlineStr">
        <is>
          <t>Onda 5 (dopo GO)</t>
        </is>
      </c>
      <c r="C25" s="10" t="inlineStr">
        <is>
          <t>Workflow core e permessi tool</t>
        </is>
      </c>
      <c r="D25" s="10" t="inlineStr">
        <is>
          <t>H-701, H-703, H-704, H-705, H-707, H-708, H-710</t>
        </is>
      </c>
      <c r="E25" s="9">
        <f>COUNTIF('Pre-GO'!D5:D25,A25)+COUNTIF('Post-GO'!D5:D53,A25)</f>
        <v/>
      </c>
      <c r="F25" s="9">
        <f>COUNTIFS('Pre-GO'!D5:D25,A25,'Pre-GO'!I5:I25,"Fatto")+COUNTIFS('Post-GO'!D5:D53,A25,'Post-GO'!I5:I53,"Fatto")</f>
        <v/>
      </c>
      <c r="G25" s="9">
        <f>IF(COUNTIFS('Pre-GO'!D5:D25,A25,'Pre-GO'!I5:I25,"Bloccato")+COUNTIFS('Post-GO'!D5:D53,A25,'Post-GO'!I5:I53,"Bloccato")&gt;0,"Bloccato",IF(F25=E25,"Fatto",IF(COUNTIFS('Pre-GO'!D5:D25,A25,'Pre-GO'!I5:I25,"In corso")+COUNTIFS('Post-GO'!D5:D53,A25,'Post-GO'!I5:I53,"In corso")+COUNTIFS('Pre-GO'!D5:D25,A25,'Pre-GO'!I5:I25,"In review")+COUNTIFS('Post-GO'!D5:D53,A25,'Post-GO'!I5:I53,"In review")+F25&gt;0,"In corso","Da fare")))</f>
        <v/>
      </c>
      <c r="H25" s="9" t="inlineStr">
        <is>
          <t>SCIBETTA</t>
        </is>
      </c>
      <c r="I25" s="9" t="inlineStr">
        <is>
          <t>S9</t>
        </is>
      </c>
      <c r="J25" s="10" t="inlineStr">
        <is>
          <t>T-701, T-703, T-704, T-705, T-707, T-708, T-710</t>
        </is>
      </c>
      <c r="K25" s="10" t="inlineStr">
        <is>
          <t>agents/plugin/ (limet-change.js, [N] file per onde/gate), agents/policy/</t>
        </is>
      </c>
      <c r="L25" s="10" t="inlineStr">
        <is>
          <t>PK-14…PK-18, H-407</t>
        </is>
      </c>
      <c r="M25" s="10" t="inlineStr">
        <is>
          <t>PK-20, PK-22</t>
        </is>
      </c>
      <c r="N25" s="10" t="inlineStr">
        <is>
          <t>[N] se limet-change.js è un file unico va scritto da una sola persona (SCIBETTA).</t>
        </is>
      </c>
    </row>
    <row r="26" ht="62" customHeight="1">
      <c r="A26" s="11" t="inlineStr">
        <is>
          <t>PK-20</t>
        </is>
      </c>
      <c r="B26" s="9" t="inlineStr">
        <is>
          <t>Onda 5 (dopo GO)</t>
        </is>
      </c>
      <c r="C26" s="10" t="inlineStr">
        <is>
          <t>Stato/eventi, report e gate di merge</t>
        </is>
      </c>
      <c r="D26" s="10" t="inlineStr">
        <is>
          <t>H-706, H-709, H-711</t>
        </is>
      </c>
      <c r="E26" s="9">
        <f>COUNTIF('Pre-GO'!D5:D25,A26)+COUNTIF('Post-GO'!D5:D53,A26)</f>
        <v/>
      </c>
      <c r="F26" s="9">
        <f>COUNTIFS('Pre-GO'!D5:D25,A26,'Pre-GO'!I5:I25,"Fatto")+COUNTIFS('Post-GO'!D5:D53,A26,'Post-GO'!I5:I53,"Fatto")</f>
        <v/>
      </c>
      <c r="G26" s="9">
        <f>IF(COUNTIFS('Pre-GO'!D5:D25,A26,'Pre-GO'!I5:I25,"Bloccato")+COUNTIFS('Post-GO'!D5:D53,A26,'Post-GO'!I5:I53,"Bloccato")&gt;0,"Bloccato",IF(F26=E26,"Fatto",IF(COUNTIFS('Pre-GO'!D5:D25,A26,'Pre-GO'!I5:I25,"In corso")+COUNTIFS('Post-GO'!D5:D53,A26,'Post-GO'!I5:I53,"In corso")+COUNTIFS('Pre-GO'!D5:D25,A26,'Pre-GO'!I5:I25,"In review")+COUNTIFS('Post-GO'!D5:D53,A26,'Post-GO'!I5:I53,"In review")+F26&gt;0,"In corso","Da fare")))</f>
        <v/>
      </c>
      <c r="H26" s="9" t="inlineStr">
        <is>
          <t>NARO</t>
        </is>
      </c>
      <c r="I26" s="9" t="inlineStr">
        <is>
          <t>N10</t>
        </is>
      </c>
      <c r="J26" s="10" t="inlineStr">
        <is>
          <t>T-706, T-709, T-711</t>
        </is>
      </c>
      <c r="K26" s="10" t="inlineStr">
        <is>
          <t>[N] file di stato, report e gate di merge (da fissare in H-308/H-701)</t>
        </is>
      </c>
      <c r="L26" s="10" t="inlineStr">
        <is>
          <t>PK-14…PK-18, H-407</t>
        </is>
      </c>
      <c r="M26" s="10" t="inlineStr">
        <is>
          <t>PK-19</t>
        </is>
      </c>
      <c r="N26" s="10" t="inlineStr">
        <is>
          <t>Contatto: contratto state.json / events.jsonl di H-308. NARO non modifica limet-change.js.</t>
        </is>
      </c>
    </row>
    <row r="27" ht="62" customHeight="1">
      <c r="A27" s="11" t="inlineStr">
        <is>
          <t>PK-21</t>
        </is>
      </c>
      <c r="B27" s="9" t="inlineStr">
        <is>
          <t>Onda 6 (dopo GO)</t>
        </is>
      </c>
      <c r="C27" s="10" t="inlineStr">
        <is>
          <t>Valutazione rischi di prodotto (C28)</t>
        </is>
      </c>
      <c r="D27" s="10" t="inlineStr">
        <is>
          <t>H-612</t>
        </is>
      </c>
      <c r="E27" s="9">
        <f>COUNTIF('Pre-GO'!D5:D25,A27)+COUNTIF('Post-GO'!D5:D53,A27)</f>
        <v/>
      </c>
      <c r="F27" s="9">
        <f>COUNTIFS('Pre-GO'!D5:D25,A27,'Pre-GO'!I5:I25,"Fatto")+COUNTIFS('Post-GO'!D5:D53,A27,'Post-GO'!I5:I53,"Fatto")</f>
        <v/>
      </c>
      <c r="G27" s="9">
        <f>IF(COUNTIFS('Pre-GO'!D5:D25,A27,'Pre-GO'!I5:I25,"Bloccato")+COUNTIFS('Post-GO'!D5:D53,A27,'Post-GO'!I5:I53,"Bloccato")&gt;0,"Bloccato",IF(F27=E27,"Fatto",IF(COUNTIFS('Pre-GO'!D5:D25,A27,'Pre-GO'!I5:I25,"In corso")+COUNTIFS('Post-GO'!D5:D53,A27,'Post-GO'!I5:I53,"In corso")+COUNTIFS('Pre-GO'!D5:D25,A27,'Pre-GO'!I5:I25,"In review")+COUNTIFS('Post-GO'!D5:D53,A27,'Post-GO'!I5:I53,"In review")+F27&gt;0,"In corso","Da fare")))</f>
        <v/>
      </c>
      <c r="H27" s="9" t="inlineStr">
        <is>
          <t>NARO</t>
        </is>
      </c>
      <c r="I27" s="9" t="inlineStr">
        <is>
          <t>N11</t>
        </is>
      </c>
      <c r="J27" s="10" t="inlineStr">
        <is>
          <t>T-611</t>
        </is>
      </c>
      <c r="K27" s="10" t="inlineStr">
        <is>
          <t>agents/plugin/agents/risk-assessor.md, RISK-&lt;task&gt;.json</t>
        </is>
      </c>
      <c r="L27" s="10" t="inlineStr">
        <is>
          <t>PK-19 (H-701), PK-20 (H-706), H-308</t>
        </is>
      </c>
      <c r="M27" s="10" t="inlineStr">
        <is>
          <t>PK-23, PK-24, PK-25</t>
        </is>
      </c>
      <c r="N27" s="10" t="inlineStr">
        <is>
          <t>risk-assessor ≠ developer, sola lettura.</t>
        </is>
      </c>
    </row>
    <row r="28" ht="62" customHeight="1">
      <c r="A28" s="11" t="inlineStr">
        <is>
          <t>PK-22</t>
        </is>
      </c>
      <c r="B28" s="9" t="inlineStr">
        <is>
          <t>Onda 5 (dopo GO)</t>
        </is>
      </c>
      <c r="C28" s="10" t="inlineStr">
        <is>
          <t>Installer e modifiche documentali a LIMET</t>
        </is>
      </c>
      <c r="D28" s="10" t="inlineStr">
        <is>
          <t>H-702, H-712</t>
        </is>
      </c>
      <c r="E28" s="9">
        <f>COUNTIF('Pre-GO'!D5:D25,A28)+COUNTIF('Post-GO'!D5:D53,A28)</f>
        <v/>
      </c>
      <c r="F28" s="9">
        <f>COUNTIFS('Pre-GO'!D5:D25,A28,'Pre-GO'!I5:I25,"Fatto")+COUNTIFS('Post-GO'!D5:D53,A28,'Post-GO'!I5:I53,"Fatto")</f>
        <v/>
      </c>
      <c r="G28" s="9">
        <f>IF(COUNTIFS('Pre-GO'!D5:D25,A28,'Pre-GO'!I5:I25,"Bloccato")+COUNTIFS('Post-GO'!D5:D53,A28,'Post-GO'!I5:I53,"Bloccato")&gt;0,"Bloccato",IF(F28=E28,"Fatto",IF(COUNTIFS('Pre-GO'!D5:D25,A28,'Pre-GO'!I5:I25,"In corso")+COUNTIFS('Post-GO'!D5:D53,A28,'Post-GO'!I5:I53,"In corso")+COUNTIFS('Pre-GO'!D5:D25,A28,'Pre-GO'!I5:I25,"In review")+COUNTIFS('Post-GO'!D5:D53,A28,'Post-GO'!I5:I53,"In review")+F28&gt;0,"In corso","Da fare")))</f>
        <v/>
      </c>
      <c r="H28" s="9" t="inlineStr">
        <is>
          <t>NARO</t>
        </is>
      </c>
      <c r="I28" s="9" t="inlineStr">
        <is>
          <t>N12</t>
        </is>
      </c>
      <c r="J28" s="10" t="inlineStr">
        <is>
          <t>T-702, T-712</t>
        </is>
      </c>
      <c r="K28" s="10" t="inlineStr">
        <is>
          <t>scripts/limet-agents.ps1/.sh, limet/ (documentazione) [P]</t>
        </is>
      </c>
      <c r="L28" s="10" t="inlineStr">
        <is>
          <t>H-407; H-712 dopo H-407 (ALA §7)</t>
        </is>
      </c>
      <c r="M28" s="10" t="inlineStr">
        <is>
          <t>PK-19</t>
        </is>
      </c>
      <c r="N28" s="10" t="inlineStr">
        <is>
          <t>Ciclo LIMET IT/EN; re-index a cura del SUPERVISORE.</t>
        </is>
      </c>
    </row>
    <row r="29" ht="62" customHeight="1">
      <c r="A29" s="11" t="inlineStr">
        <is>
          <t>PK-23</t>
        </is>
      </c>
      <c r="B29" s="9" t="inlineStr">
        <is>
          <t>Onda 3+ (dopo GO)</t>
        </is>
      </c>
      <c r="C29" s="10" t="inlineStr">
        <is>
          <t>Hook ECC e registro chiamate LLM</t>
        </is>
      </c>
      <c r="D29" s="10" t="inlineStr">
        <is>
          <t>H-800, H-800b, H-801, H-802</t>
        </is>
      </c>
      <c r="E29" s="9">
        <f>COUNTIF('Pre-GO'!D5:D25,A29)+COUNTIF('Post-GO'!D5:D53,A29)</f>
        <v/>
      </c>
      <c r="F29" s="9">
        <f>COUNTIFS('Pre-GO'!D5:D25,A29,'Pre-GO'!I5:I25,"Fatto")+COUNTIFS('Post-GO'!D5:D53,A29,'Post-GO'!I5:I53,"Fatto")</f>
        <v/>
      </c>
      <c r="G29" s="9">
        <f>IF(COUNTIFS('Pre-GO'!D5:D25,A29,'Pre-GO'!I5:I25,"Bloccato")+COUNTIFS('Post-GO'!D5:D53,A29,'Post-GO'!I5:I53,"Bloccato")&gt;0,"Bloccato",IF(F29=E29,"Fatto",IF(COUNTIFS('Pre-GO'!D5:D25,A29,'Pre-GO'!I5:I25,"In corso")+COUNTIFS('Post-GO'!D5:D53,A29,'Post-GO'!I5:I53,"In corso")+COUNTIFS('Pre-GO'!D5:D25,A29,'Pre-GO'!I5:I25,"In review")+COUNTIFS('Post-GO'!D5:D53,A29,'Post-GO'!I5:I53,"In review")+F29&gt;0,"In corso","Da fare")))</f>
        <v/>
      </c>
      <c r="H29" s="9" t="inlineStr">
        <is>
          <t>SCIBETTA</t>
        </is>
      </c>
      <c r="I29" s="9" t="inlineStr">
        <is>
          <t>S10</t>
        </is>
      </c>
      <c r="J29" s="10" t="inlineStr">
        <is>
          <t>T-801, T-802</t>
        </is>
      </c>
      <c r="K29" s="10" t="inlineStr">
        <is>
          <t>docs/ecc-hooks-analysis.md, agents/policy/llm-registry.json, [N] wrapper AgentShield</t>
        </is>
      </c>
      <c r="L29" s="10" t="inlineStr">
        <is>
          <t>GO; PK-08</t>
        </is>
      </c>
      <c r="M29" s="10" t="inlineStr">
        <is>
          <t>PK-14…PK-22</t>
        </is>
      </c>
      <c r="N29" s="10" t="inlineStr">
        <is>
          <t>H-800 anticipabile in Fase 2 (IN §5). [N] Q-10 licenze AgentShield.</t>
        </is>
      </c>
    </row>
    <row r="30" ht="62" customHeight="1">
      <c r="A30" s="11" t="inlineStr">
        <is>
          <t>PK-24</t>
        </is>
      </c>
      <c r="B30" s="9" t="inlineStr">
        <is>
          <t>Onda 6 (dopo GO)</t>
        </is>
      </c>
      <c r="C30" s="10" t="inlineStr">
        <is>
          <t>Knowledge base HLS_* e accesso agenti</t>
        </is>
      </c>
      <c r="D30" s="10" t="inlineStr">
        <is>
          <t>H-803, H-804</t>
        </is>
      </c>
      <c r="E30" s="9">
        <f>COUNTIF('Pre-GO'!D5:D25,A30)+COUNTIF('Post-GO'!D5:D53,A30)</f>
        <v/>
      </c>
      <c r="F30" s="9">
        <f>COUNTIFS('Pre-GO'!D5:D25,A30,'Pre-GO'!I5:I25,"Fatto")+COUNTIFS('Post-GO'!D5:D53,A30,'Post-GO'!I5:I53,"Fatto")</f>
        <v/>
      </c>
      <c r="G30" s="9">
        <f>IF(COUNTIFS('Pre-GO'!D5:D25,A30,'Pre-GO'!I5:I25,"Bloccato")+COUNTIFS('Post-GO'!D5:D53,A30,'Post-GO'!I5:I53,"Bloccato")&gt;0,"Bloccato",IF(F30=E30,"Fatto",IF(COUNTIFS('Pre-GO'!D5:D25,A30,'Pre-GO'!I5:I25,"In corso")+COUNTIFS('Post-GO'!D5:D53,A30,'Post-GO'!I5:I53,"In corso")+COUNTIFS('Pre-GO'!D5:D25,A30,'Pre-GO'!I5:I25,"In review")+COUNTIFS('Post-GO'!D5:D53,A30,'Post-GO'!I5:I53,"In review")+F30&gt;0,"In corso","Da fare")))</f>
        <v/>
      </c>
      <c r="H30" s="9" t="inlineStr">
        <is>
          <t>SCIBETTA</t>
        </is>
      </c>
      <c r="I30" s="9" t="inlineStr">
        <is>
          <t>S11</t>
        </is>
      </c>
      <c r="J30" s="10" t="inlineStr">
        <is>
          <t>T-803, T-804</t>
        </is>
      </c>
      <c r="K30" s="10" t="inlineStr">
        <is>
          <t>[N] script KB / MCP in sola lettura</t>
        </is>
      </c>
      <c r="L30" s="10" t="inlineStr">
        <is>
          <t>PK-03, PK-15</t>
        </is>
      </c>
      <c r="M30" s="10" t="inlineStr">
        <is>
          <t>PK-21</t>
        </is>
      </c>
      <c r="N30" s="10" t="inlineStr">
        <is>
          <t>HLS_* creata solo con autorizzazione esplicita (Q9); mai su collection esistenti.</t>
        </is>
      </c>
    </row>
    <row r="31" ht="62" customHeight="1">
      <c r="A31" s="11" t="inlineStr">
        <is>
          <t>PK-25</t>
        </is>
      </c>
      <c r="B31" s="9" t="inlineStr">
        <is>
          <t>Onda 3+ (dopo GO)</t>
        </is>
      </c>
      <c r="C31" s="10" t="inlineStr">
        <is>
          <t>API loopback e read model</t>
        </is>
      </c>
      <c r="D31" s="10" t="inlineStr">
        <is>
          <t>H-8b01, H-8b02, H-8b05</t>
        </is>
      </c>
      <c r="E31" s="9">
        <f>COUNTIF('Pre-GO'!D5:D25,A31)+COUNTIF('Post-GO'!D5:D53,A31)</f>
        <v/>
      </c>
      <c r="F31" s="9">
        <f>COUNTIFS('Pre-GO'!D5:D25,A31,'Pre-GO'!I5:I25,"Fatto")+COUNTIFS('Post-GO'!D5:D53,A31,'Post-GO'!I5:I53,"Fatto")</f>
        <v/>
      </c>
      <c r="G31" s="9">
        <f>IF(COUNTIFS('Pre-GO'!D5:D25,A31,'Pre-GO'!I5:I25,"Bloccato")+COUNTIFS('Post-GO'!D5:D53,A31,'Post-GO'!I5:I53,"Bloccato")&gt;0,"Bloccato",IF(F31=E31,"Fatto",IF(COUNTIFS('Pre-GO'!D5:D25,A31,'Pre-GO'!I5:I25,"In corso")+COUNTIFS('Post-GO'!D5:D53,A31,'Post-GO'!I5:I53,"In corso")+COUNTIFS('Pre-GO'!D5:D25,A31,'Pre-GO'!I5:I25,"In review")+COUNTIFS('Post-GO'!D5:D53,A31,'Post-GO'!I5:I53,"In review")+F31&gt;0,"In corso","Da fare")))</f>
        <v/>
      </c>
      <c r="H31" s="9" t="inlineStr">
        <is>
          <t>SCIBETTA</t>
        </is>
      </c>
      <c r="I31" s="9" t="inlineStr">
        <is>
          <t>S12</t>
        </is>
      </c>
      <c r="J31" s="10" t="inlineStr">
        <is>
          <t>T-8b01, T-8b04, T-8b05, T-8b08</t>
        </is>
      </c>
      <c r="K31" s="10" t="inlineStr">
        <is>
          <t>api/</t>
        </is>
      </c>
      <c r="L31" s="10" t="inlineStr">
        <is>
          <t>GO; PK-06, PK-08</t>
        </is>
      </c>
      <c r="M31" s="10" t="inlineStr">
        <is>
          <t>PK-26 (dopo contratto API)</t>
        </is>
      </c>
      <c r="N31" s="10" t="inlineStr">
        <is>
          <t>Contatto: contratto API/OpenAPI di H-8b01 da congelare prima di PK-26.</t>
        </is>
      </c>
    </row>
    <row r="32" ht="62" customHeight="1">
      <c r="A32" s="11" t="inlineStr">
        <is>
          <t>PK-26</t>
        </is>
      </c>
      <c r="B32" s="9" t="inlineStr">
        <is>
          <t>Onda 4+ (dopo GO)</t>
        </is>
      </c>
      <c r="C32" s="10" t="inlineStr">
        <is>
          <t>UI (viste, permessi, grafica, npm) e sostituzione launcher</t>
        </is>
      </c>
      <c r="D32" s="10" t="inlineStr">
        <is>
          <t>H-8b03, H-8b04, H-8b06, H-8b07, H-8b08</t>
        </is>
      </c>
      <c r="E32" s="9">
        <f>COUNTIF('Pre-GO'!D5:D25,A32)+COUNTIF('Post-GO'!D5:D53,A32)</f>
        <v/>
      </c>
      <c r="F32" s="9">
        <f>COUNTIFS('Pre-GO'!D5:D25,A32,'Pre-GO'!I5:I25,"Fatto")+COUNTIFS('Post-GO'!D5:D53,A32,'Post-GO'!I5:I53,"Fatto")</f>
        <v/>
      </c>
      <c r="G32" s="9">
        <f>IF(COUNTIFS('Pre-GO'!D5:D25,A32,'Pre-GO'!I5:I25,"Bloccato")+COUNTIFS('Post-GO'!D5:D53,A32,'Post-GO'!I5:I53,"Bloccato")&gt;0,"Bloccato",IF(F32=E32,"Fatto",IF(COUNTIFS('Pre-GO'!D5:D25,A32,'Pre-GO'!I5:I25,"In corso")+COUNTIFS('Post-GO'!D5:D53,A32,'Post-GO'!I5:I53,"In corso")+COUNTIFS('Pre-GO'!D5:D25,A32,'Pre-GO'!I5:I25,"In review")+COUNTIFS('Post-GO'!D5:D53,A32,'Post-GO'!I5:I53,"In review")+F32&gt;0,"In corso","Da fare")))</f>
        <v/>
      </c>
      <c r="H32" s="9" t="inlineStr">
        <is>
          <t>NARO</t>
        </is>
      </c>
      <c r="I32" s="9" t="inlineStr">
        <is>
          <t>N13</t>
        </is>
      </c>
      <c r="J32" s="10" t="inlineStr">
        <is>
          <t>T-8b06, T-405, T-8b07, T-8b09, T-8b10, T-304</t>
        </is>
      </c>
      <c r="K32" s="10" t="inlineStr">
        <is>
          <t>ui/, [N] shim launcher :8799</t>
        </is>
      </c>
      <c r="L32" s="10" t="inlineStr">
        <is>
          <t>PK-25, PK-08, PK-06</t>
        </is>
      </c>
      <c r="M32" s="10" t="inlineStr">
        <is>
          <t>PK-25 (dopo contratto API)</t>
        </is>
      </c>
      <c r="N32" s="10" t="inlineStr">
        <is>
          <t>La UI non esegue build/test/git (C23–C24).</t>
        </is>
      </c>
    </row>
    <row r="33" ht="62" customHeight="1">
      <c r="A33" s="11" t="inlineStr">
        <is>
          <t>PK-27</t>
        </is>
      </c>
      <c r="B33" s="9" t="inlineStr">
        <is>
          <t>Onda 7 (dopo GO)</t>
        </is>
      </c>
      <c r="C33" s="10" t="inlineStr">
        <is>
          <t>Scenari E2E V1–V24</t>
        </is>
      </c>
      <c r="D33" s="10" t="inlineStr">
        <is>
          <t>H-901</t>
        </is>
      </c>
      <c r="E33" s="9">
        <f>COUNTIF('Pre-GO'!D5:D25,A33)+COUNTIF('Post-GO'!D5:D53,A33)</f>
        <v/>
      </c>
      <c r="F33" s="9">
        <f>COUNTIFS('Pre-GO'!D5:D25,A33,'Pre-GO'!I5:I25,"Fatto")+COUNTIFS('Post-GO'!D5:D53,A33,'Post-GO'!I5:I53,"Fatto")</f>
        <v/>
      </c>
      <c r="G33" s="9">
        <f>IF(COUNTIFS('Pre-GO'!D5:D25,A33,'Pre-GO'!I5:I25,"Bloccato")+COUNTIFS('Post-GO'!D5:D53,A33,'Post-GO'!I5:I53,"Bloccato")&gt;0,"Bloccato",IF(F33=E33,"Fatto",IF(COUNTIFS('Pre-GO'!D5:D25,A33,'Pre-GO'!I5:I25,"In corso")+COUNTIFS('Post-GO'!D5:D53,A33,'Post-GO'!I5:I53,"In corso")+COUNTIFS('Pre-GO'!D5:D25,A33,'Pre-GO'!I5:I25,"In review")+COUNTIFS('Post-GO'!D5:D53,A33,'Post-GO'!I5:I53,"In review")+F33&gt;0,"In corso","Da fare")))</f>
        <v/>
      </c>
      <c r="H33" s="9" t="inlineStr">
        <is>
          <t>SCIBETTA</t>
        </is>
      </c>
      <c r="I33" s="9" t="inlineStr">
        <is>
          <t>S13</t>
        </is>
      </c>
      <c r="J33" s="10" t="inlineStr">
        <is>
          <t>—</t>
        </is>
      </c>
      <c r="K33" s="10" t="inlineStr">
        <is>
          <t>E2E_VERIFICATION.md, [N] repo pilota test\</t>
        </is>
      </c>
      <c r="L33" s="10" t="inlineStr">
        <is>
          <t>Fasi 5–8</t>
        </is>
      </c>
      <c r="M33" s="10" t="inlineStr">
        <is>
          <t>PK-28</t>
        </is>
      </c>
      <c r="N33" s="10" t="inlineStr">
        <is>
          <t>Esecuzione su 3 OS a cura del SUPERVISORE.</t>
        </is>
      </c>
    </row>
    <row r="34" ht="62" customHeight="1">
      <c r="A34" s="11" t="inlineStr">
        <is>
          <t>PK-28</t>
        </is>
      </c>
      <c r="B34" s="9" t="inlineStr">
        <is>
          <t>Onda 7 (dopo GO)</t>
        </is>
      </c>
      <c r="C34" s="10" t="inlineStr">
        <is>
          <t>README plugin e manuali</t>
        </is>
      </c>
      <c r="D34" s="10" t="inlineStr">
        <is>
          <t>H-902, H-1101</t>
        </is>
      </c>
      <c r="E34" s="9">
        <f>COUNTIF('Pre-GO'!D5:D25,A34)+COUNTIF('Post-GO'!D5:D53,A34)</f>
        <v/>
      </c>
      <c r="F34" s="9">
        <f>COUNTIFS('Pre-GO'!D5:D25,A34,'Pre-GO'!I5:I25,"Fatto")+COUNTIFS('Post-GO'!D5:D53,A34,'Post-GO'!I5:I53,"Fatto")</f>
        <v/>
      </c>
      <c r="G34" s="9">
        <f>IF(COUNTIFS('Pre-GO'!D5:D25,A34,'Pre-GO'!I5:I25,"Bloccato")+COUNTIFS('Post-GO'!D5:D53,A34,'Post-GO'!I5:I53,"Bloccato")&gt;0,"Bloccato",IF(F34=E34,"Fatto",IF(COUNTIFS('Pre-GO'!D5:D25,A34,'Pre-GO'!I5:I25,"In corso")+COUNTIFS('Post-GO'!D5:D53,A34,'Post-GO'!I5:I53,"In corso")+COUNTIFS('Pre-GO'!D5:D25,A34,'Pre-GO'!I5:I25,"In review")+COUNTIFS('Post-GO'!D5:D53,A34,'Post-GO'!I5:I53,"In review")+F34&gt;0,"In corso","Da fare")))</f>
        <v/>
      </c>
      <c r="H34" s="9" t="inlineStr">
        <is>
          <t>NARO</t>
        </is>
      </c>
      <c r="I34" s="9" t="inlineStr">
        <is>
          <t>N14</t>
        </is>
      </c>
      <c r="J34" s="10" t="inlineStr">
        <is>
          <t>—</t>
        </is>
      </c>
      <c r="K34" s="10" t="inlineStr">
        <is>
          <t>agents/plugin/README.md, docs/ (manuali, NOTICE, runbook)</t>
        </is>
      </c>
      <c r="L34" s="10" t="inlineStr">
        <is>
          <t>PK-27</t>
        </is>
      </c>
      <c r="M34" s="10" t="inlineStr">
        <is>
          <t>PK-29</t>
        </is>
      </c>
      <c r="N34" s="10" t="inlineStr">
        <is>
          <t>Revisione approvata dal SUPERVISORE.</t>
        </is>
      </c>
    </row>
    <row r="35" ht="62" customHeight="1">
      <c r="A35" s="11" t="inlineStr">
        <is>
          <t>PK-29</t>
        </is>
      </c>
      <c r="B35" s="9" t="inlineStr">
        <is>
          <t>Onda 8 (dopo GO)</t>
        </is>
      </c>
      <c r="C35" s="10" t="inlineStr">
        <is>
          <t>Hardening</t>
        </is>
      </c>
      <c r="D35" s="10" t="inlineStr">
        <is>
          <t>H-1001</t>
        </is>
      </c>
      <c r="E35" s="9">
        <f>COUNTIF('Pre-GO'!D5:D25,A35)+COUNTIF('Post-GO'!D5:D53,A35)</f>
        <v/>
      </c>
      <c r="F35" s="9">
        <f>COUNTIFS('Pre-GO'!D5:D25,A35,'Pre-GO'!I5:I25,"Fatto")+COUNTIFS('Post-GO'!D5:D53,A35,'Post-GO'!I5:I53,"Fatto")</f>
        <v/>
      </c>
      <c r="G35" s="9">
        <f>IF(COUNTIFS('Pre-GO'!D5:D25,A35,'Pre-GO'!I5:I25,"Bloccato")+COUNTIFS('Post-GO'!D5:D53,A35,'Post-GO'!I5:I53,"Bloccato")&gt;0,"Bloccato",IF(F35=E35,"Fatto",IF(COUNTIFS('Pre-GO'!D5:D25,A35,'Pre-GO'!I5:I25,"In corso")+COUNTIFS('Post-GO'!D5:D53,A35,'Post-GO'!I5:I53,"In corso")+COUNTIFS('Pre-GO'!D5:D25,A35,'Pre-GO'!I5:I25,"In review")+COUNTIFS('Post-GO'!D5:D53,A35,'Post-GO'!I5:I53,"In review")+F35&gt;0,"In corso","Da fare")))</f>
        <v/>
      </c>
      <c r="H35" s="9" t="inlineStr">
        <is>
          <t>SCIBETTA</t>
        </is>
      </c>
      <c r="I35" s="9" t="inlineStr">
        <is>
          <t>S14</t>
        </is>
      </c>
      <c r="J35" s="10" t="inlineStr">
        <is>
          <t>—</t>
        </is>
      </c>
      <c r="K35" s="10" t="inlineStr">
        <is>
          <t>[N] log immutabili, sandbox, SBOM</t>
        </is>
      </c>
      <c r="L35" s="10" t="inlineStr">
        <is>
          <t>PK-27</t>
        </is>
      </c>
      <c r="M35" s="10" t="inlineStr">
        <is>
          <t>PK-28</t>
        </is>
      </c>
      <c r="N35" s="10" t="inlineStr">
        <is>
          <t>[N] nessun T-xxx in IN §6: verifica = audit.</t>
        </is>
      </c>
    </row>
    <row r="36" ht="62" customHeight="1">
      <c r="A36" s="11" t="inlineStr">
        <is>
          <t>PK-30</t>
        </is>
      </c>
      <c r="B36" s="9" t="inlineStr">
        <is>
          <t>Onda 9 (dopo GO)</t>
        </is>
      </c>
      <c r="C36" s="10" t="inlineStr">
        <is>
          <t>Rollout sul pilota</t>
        </is>
      </c>
      <c r="D36" s="10" t="inlineStr">
        <is>
          <t>H-1201</t>
        </is>
      </c>
      <c r="E36" s="9">
        <f>COUNTIF('Pre-GO'!D5:D25,A36)+COUNTIF('Post-GO'!D5:D53,A36)</f>
        <v/>
      </c>
      <c r="F36" s="9">
        <f>COUNTIFS('Pre-GO'!D5:D25,A36,'Pre-GO'!I5:I25,"Fatto")+COUNTIFS('Post-GO'!D5:D53,A36,'Post-GO'!I5:I53,"Fatto")</f>
        <v/>
      </c>
      <c r="G36" s="9">
        <f>IF(COUNTIFS('Pre-GO'!D5:D25,A36,'Pre-GO'!I5:I25,"Bloccato")+COUNTIFS('Post-GO'!D5:D53,A36,'Post-GO'!I5:I53,"Bloccato")&gt;0,"Bloccato",IF(F36=E36,"Fatto",IF(COUNTIFS('Pre-GO'!D5:D25,A36,'Pre-GO'!I5:I25,"In corso")+COUNTIFS('Post-GO'!D5:D53,A36,'Post-GO'!I5:I53,"In corso")+COUNTIFS('Pre-GO'!D5:D25,A36,'Pre-GO'!I5:I25,"In review")+COUNTIFS('Post-GO'!D5:D53,A36,'Post-GO'!I5:I53,"In review")+F36&gt;0,"In corso","Da fare")))</f>
        <v/>
      </c>
      <c r="H36" s="9" t="inlineStr">
        <is>
          <t>NARO</t>
        </is>
      </c>
      <c r="I36" s="9" t="inlineStr">
        <is>
          <t>N15</t>
        </is>
      </c>
      <c r="J36" s="10" t="inlineStr">
        <is>
          <t>—</t>
        </is>
      </c>
      <c r="K36" s="10" t="inlineStr">
        <is>
          <t>docs/ (metriche, rollback)</t>
        </is>
      </c>
      <c r="L36" s="10" t="inlineStr">
        <is>
          <t>PK-28, PK-29</t>
        </is>
      </c>
      <c r="M36" s="10" t="inlineStr">
        <is>
          <t>—</t>
        </is>
      </c>
      <c r="N36" s="10" t="inlineStr">
        <is>
          <t>[N] parere legale; pilota da scegliere.</t>
        </is>
      </c>
    </row>
  </sheetData>
  <autoFilter ref="A4:N36"/>
  <mergeCells count="2">
    <mergeCell ref="A2:N2"/>
    <mergeCell ref="A1:N1"/>
  </mergeCells>
  <conditionalFormatting sqref="G5:G36">
    <cfRule type="cellIs" priority="1" operator="equal" dxfId="2">
      <formula>"Fatto"</formula>
    </cfRule>
    <cfRule type="cellIs" priority="2" operator="equal" dxfId="3">
      <formula>"In corso"</formula>
    </cfRule>
    <cfRule type="cellIs" priority="3" operator="equal" dxfId="5">
      <formula>"Bloccato"</formula>
    </cfRule>
    <cfRule type="cellIs" priority="4" operator="equal" dxfId="6">
      <formula>"Da fare"</formula>
    </cfRule>
  </conditionalFormatting>
  <conditionalFormatting sqref="H5:H36">
    <cfRule type="cellIs" priority="5" operator="equal" dxfId="7">
      <formula>"NARO"</formula>
    </cfRule>
    <cfRule type="cellIs" priority="6" operator="equal" dxfId="8">
      <formula>"SCIBETTA"</formula>
    </cfRule>
    <cfRule type="cellIs" priority="7" operator="equal" dxfId="9">
      <formula>"SUPERVISORE"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70" customWidth="1" min="4" max="4"/>
    <col width="38" customWidth="1" min="5" max="5"/>
  </cols>
  <sheetData>
    <row r="1" ht="30" customHeight="1">
      <c r="A1" s="13" t="inlineStr">
        <is>
          <t>HELIOS — Punti di sincronizzazione e di contatto tra NARO e SCIBETTA [P]</t>
        </is>
      </c>
    </row>
    <row r="3">
      <c r="A3" s="2" t="inlineStr">
        <is>
          <t>#</t>
        </is>
      </c>
      <c r="B3" s="2" t="inlineStr">
        <is>
          <t>Tra pacchetti</t>
        </is>
      </c>
      <c r="C3" s="2" t="inlineStr">
        <is>
          <t>Cosa condividono</t>
        </is>
      </c>
      <c r="D3" s="2" t="inlineStr">
        <is>
          <t>Come evitare conflitti</t>
        </is>
      </c>
      <c r="E3" s="2" t="inlineStr">
        <is>
          <t>Quando</t>
        </is>
      </c>
    </row>
    <row r="4" ht="48" customHeight="1">
      <c r="A4" s="10" t="n">
        <v>1</v>
      </c>
      <c r="B4" s="10" t="inlineStr">
        <is>
          <t>PK-04 → PK-05b/06/07</t>
        </is>
      </c>
      <c r="C4" s="10" t="inlineStr">
        <is>
          <t>Il repo dopo l'import (H-301)</t>
        </is>
      </c>
      <c r="D4" s="10" t="inlineStr">
        <is>
          <t>Nessuno scrive prima del commit/push del SUPERVISORE; poi ognuno lavora su cartelle proprie.</t>
        </is>
      </c>
      <c r="E4" s="10" t="inlineStr">
        <is>
          <t>Prima di H-302, H-304, H-305, H-307</t>
        </is>
      </c>
    </row>
    <row r="5" ht="48" customHeight="1">
      <c r="A5" s="10" t="n">
        <v>2</v>
      </c>
      <c r="B5" s="10" t="inlineStr">
        <is>
          <t>PK-01 (SCIBETTA) → PK-10/11 (NARO)</t>
        </is>
      </c>
      <c r="C5" s="10" t="inlineStr">
        <is>
          <t>Schemi JSON agents/contracts/</t>
        </is>
      </c>
      <c r="D5" s="10" t="inlineStr">
        <is>
          <t>SCIBETTA è l'unico owner di agents/contracts/; NARO li legge e chiede le modifiche. Schemi congelati prima di Fase 4.</t>
        </is>
      </c>
      <c r="E5" s="10" t="inlineStr">
        <is>
          <t>Fine PK-01</t>
        </is>
      </c>
    </row>
    <row r="6" ht="48" customHeight="1">
      <c r="A6" s="10" t="n">
        <v>3</v>
      </c>
      <c r="B6" s="10" t="inlineStr">
        <is>
          <t>Fase 3 → Fase 4</t>
        </is>
      </c>
      <c r="C6" s="10" t="inlineStr">
        <is>
          <t>Chiusura Fase 3 (lettura prudente di IN §4)</t>
        </is>
      </c>
      <c r="D6" s="10" t="inlineStr">
        <is>
          <t>Entrambi chiudono i propri pacchetti di Fase 3 prima di avviare PK-08…PK-13.</t>
        </is>
      </c>
      <c r="E6" s="10" t="inlineStr">
        <is>
          <t>Prima di PK-08</t>
        </is>
      </c>
    </row>
    <row r="7" ht="48" customHeight="1">
      <c r="A7" s="10" t="n">
        <v>4</v>
      </c>
      <c r="B7" s="10" t="inlineStr">
        <is>
          <t>PK-08/09 (SCIBETTA) ∥ PK-10/11 (NARO)</t>
        </is>
      </c>
      <c r="C7" s="10" t="inlineStr">
        <is>
          <t>Runner, policy, gate, plugin</t>
        </is>
      </c>
      <c r="D7" s="10" t="inlineStr">
        <is>
          <t>Cartelle disgiunte: agents/runner, agents/policy, agents/roles (SCIBETTA) · agents/workflow, agents/plugin (NARO). Il gate usa il contratto, non il codice del runner.</t>
        </is>
      </c>
      <c r="E7" s="10" t="inlineStr">
        <is>
          <t>Onda 2</t>
        </is>
      </c>
    </row>
    <row r="8" ht="48" customHeight="1">
      <c r="A8" s="10" t="n">
        <v>5</v>
      </c>
      <c r="B8" s="10" t="inlineStr">
        <is>
          <t>PK-12 + PK-11 → PK-13</t>
        </is>
      </c>
      <c r="C8" s="10" t="inlineStr">
        <is>
          <t>Esiti A/B e prova plugin</t>
        </is>
      </c>
      <c r="D8" s="10" t="inlineStr">
        <is>
          <t>NARO compila poc-report.md solo dopo gli esiti di PK-12 (SCIBETTA) e PK-11.</t>
        </is>
      </c>
      <c r="E8" s="10" t="inlineStr">
        <is>
          <t>Fine Onda 2</t>
        </is>
      </c>
    </row>
    <row r="9" ht="48" customHeight="1">
      <c r="A9" s="10" t="n">
        <v>6</v>
      </c>
      <c r="B9" s="10" t="inlineStr">
        <is>
          <t>PK-13 → tutte le onde successive</t>
        </is>
      </c>
      <c r="C9" s="10" t="inlineStr">
        <is>
          <t>Gate go/no-go (C14)</t>
        </is>
      </c>
      <c r="D9" s="10" t="inlineStr">
        <is>
          <t>Decide solo il SUPERVISORE: GO / NO-GO / piano B. Senza GO nessun pacchetto Post-GO parte.</t>
        </is>
      </c>
      <c r="E9" s="10" t="inlineStr">
        <is>
          <t>Dopo H-406</t>
        </is>
      </c>
    </row>
    <row r="10" ht="48" customHeight="1">
      <c r="A10" s="10" t="n">
        <v>7</v>
      </c>
      <c r="B10" s="10" t="inlineStr">
        <is>
          <t>PK-14 (SCIBETTA) ∥ PK-15 (NARO)</t>
        </is>
      </c>
      <c r="C10" s="10" t="inlineStr">
        <is>
          <t>agents/plugin/</t>
        </is>
      </c>
      <c r="D10" s="10" t="inlineStr">
        <is>
          <t>SCIBETTA: skills/limet-runner; NARO: scheduler/ e agents/_common.md. Nessun file in comune.</t>
        </is>
      </c>
      <c r="E10" s="10" t="inlineStr">
        <is>
          <t>Onda 3</t>
        </is>
      </c>
    </row>
    <row r="11" ht="48" customHeight="1">
      <c r="A11" s="10" t="n">
        <v>8</v>
      </c>
      <c r="B11" s="10" t="inlineStr">
        <is>
          <t>PK-14 → PK-16, PK-17, PK-18</t>
        </is>
      </c>
      <c r="C11" s="10" t="inlineStr">
        <is>
          <t>Schemi della catena (H-308)</t>
        </is>
      </c>
      <c r="D11" s="10" t="inlineStr">
        <is>
          <t>PK-16 (NARO) e i ruoli partono dopo il completamento di H-308.</t>
        </is>
      </c>
      <c r="E11" s="10" t="inlineStr">
        <is>
          <t>Fine PK-14</t>
        </is>
      </c>
    </row>
    <row r="12" ht="48" customHeight="1">
      <c r="A12" s="10" t="n">
        <v>9</v>
      </c>
      <c r="B12" s="10" t="inlineStr">
        <is>
          <t>PK-17 (SCIBETTA) ∥ PK-18 (NARO)</t>
        </is>
      </c>
      <c r="C12" s="10" t="inlineStr">
        <is>
          <t>Cartella agents/plugin/agents/</t>
        </is>
      </c>
      <c r="D12" s="10" t="inlineStr">
        <is>
          <t>File distinti per ruolo; _common.md è di NARO (PK-15) e in sola lettura per gli altri.</t>
        </is>
      </c>
      <c r="E12" s="10" t="inlineStr">
        <is>
          <t>Onda 4</t>
        </is>
      </c>
    </row>
    <row r="13" ht="48" customHeight="1">
      <c r="A13" s="10" t="n">
        <v>10</v>
      </c>
      <c r="B13" s="10" t="inlineStr">
        <is>
          <t>PK-19 (SCIBETTA) ∥ PK-20 (NARO)</t>
        </is>
      </c>
      <c r="C13" s="10" t="inlineStr">
        <is>
          <t>state.json / events.jsonl</t>
        </is>
      </c>
      <c r="D13" s="10" t="inlineStr">
        <is>
          <t>limet-change.js e agents/policy/ solo SCIBETTA; stato/report/gate di merge solo NARO. [N] se il workflow è un file unico, NARO non lo tocca.</t>
        </is>
      </c>
      <c r="E13" s="10" t="inlineStr">
        <is>
          <t>Onda 5</t>
        </is>
      </c>
    </row>
    <row r="14" ht="48" customHeight="1">
      <c r="A14" s="10" t="n">
        <v>11</v>
      </c>
      <c r="B14" s="10" t="inlineStr">
        <is>
          <t>PK-25 (SCIBETTA) → PK-26 (NARO)</t>
        </is>
      </c>
      <c r="C14" s="10" t="inlineStr">
        <is>
          <t>Contratto API (OpenAPI) di H-8b01</t>
        </is>
      </c>
      <c r="D14" s="10" t="inlineStr">
        <is>
          <t>La UI parte sul contratto congelato; api/ solo SCIBETTA, ui/ solo NARO.</t>
        </is>
      </c>
      <c r="E14" s="10" t="inlineStr">
        <is>
          <t>Dopo H-8b01</t>
        </is>
      </c>
    </row>
    <row r="15" ht="48" customHeight="1">
      <c r="A15" s="10" t="n">
        <v>12</v>
      </c>
      <c r="B15" s="10" t="inlineStr">
        <is>
          <t>PK-23, PK-24 (SCIBETTA)</t>
        </is>
      </c>
      <c r="C15" s="10" t="inlineStr">
        <is>
          <t>agents/policy/, KB</t>
        </is>
      </c>
      <c r="D15" s="10" t="inlineStr">
        <is>
          <t>agents/policy/ resta di SCIBETTA (H-404, H-710, H-801).</t>
        </is>
      </c>
      <c r="E15" s="10" t="inlineStr">
        <is>
          <t>Dopo GO</t>
        </is>
      </c>
    </row>
    <row r="16" ht="48" customHeight="1">
      <c r="A16" s="10" t="n">
        <v>13</v>
      </c>
      <c r="B16" s="10" t="inlineStr">
        <is>
          <t>Tutti</t>
        </is>
      </c>
      <c r="C16" s="10" t="inlineStr">
        <is>
          <t>Branch e commit</t>
        </is>
      </c>
      <c r="D16" s="10" t="inlineStr">
        <is>
          <t>Un branch personale per pacchetto; commit e push a cura del SUPERVISORE/degli sviluppatori, mai dell'agente. [N] convenzione dei branch da decidere.</t>
        </is>
      </c>
      <c r="E16" s="10" t="inlineStr">
        <is>
          <t>Sempre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5" t="inlineStr">
        <is>
          <t>HELIOS — Distribuzione task</t>
        </is>
      </c>
      <c r="B1" s="14" t="inlineStr">
        <is>
          <t>Foglio di distribuzione e tracciamento dei task H-xxx tra NARO e SCIBETTA (Pre-GO / Post-GO / Pacchetti). Fonte: TASK_LIST.md, PLAN_helios-poc.md (§5.4–5.5), TEST_PLAN.md in limet/changes/0001-helios-poc/.</t>
        </is>
      </c>
    </row>
    <row r="3" ht="60" customHeight="1">
      <c r="A3" s="16" t="inlineStr">
        <is>
          <t>Come si usa</t>
        </is>
      </c>
      <c r="B3" s="14" t="inlineStr">
        <is>
          <t>1) Apri il foglio 'Pacchetti', scegli il tuo pacchetto (colonna Risorsa) e segui lo Step.  2) In Pre-GO / Post-GO imposta Stato = 'In corso' sui task del pacchetto.  3) Lavora solo sui percorsi del pacchetto (colonna 'Percorsi toccati').  4) A fine task: Stato = 'In review', % avanzamento = 100%, compila Commit (hash) e Fine; la valutazione dei rischi (C28) va nelle Note.</t>
        </is>
      </c>
    </row>
    <row r="4" ht="30" customHeight="1">
      <c r="A4" s="16" t="inlineStr">
        <is>
          <t>Stati</t>
        </is>
      </c>
      <c r="B4" s="14" t="inlineStr">
        <is>
          <t>Da fare → In corso → In review → Fatto (oppure Bloccato, spiegando il motivo in Note).</t>
        </is>
      </c>
    </row>
    <row r="5" ht="30" customHeight="1">
      <c r="A5" s="16" t="inlineStr">
        <is>
          <t>Etichette [F]/[I]/[P]/[N]</t>
        </is>
      </c>
      <c r="B5" s="14" t="inlineStr">
        <is>
          <t>[F] fatto con fonte · [I] inferenza · [P] proposta da approvare · [N] informazione mancante. L'assegnazione ai pacchetti e le dipendenze marcate [P] sono una proposta: la approva il SUPERVISORE.</t>
        </is>
      </c>
    </row>
    <row r="6" ht="30" customHeight="1">
      <c r="A6" s="16" t="inlineStr">
        <is>
          <t>Gate go/no-go</t>
        </is>
      </c>
      <c r="B6" s="14" t="inlineStr">
        <is>
          <t>Il foglio Pre-GO termina con H-406 (rapporto go/no-go). Le Fasi 5–12 (Post-GO) partono solo dopo la decisione GO del SUPERVISORE; con NO-GO si valuta il piano B (wrapper senza copia di ECC).</t>
        </is>
      </c>
    </row>
    <row r="7" ht="45" customHeight="1">
      <c r="A7" s="16" t="inlineStr">
        <is>
          <t>Regole</t>
        </is>
      </c>
      <c r="B7" s="14" t="inlineStr">
        <is>
          <t>Non toccare i percorsi dell'altra risorsa. Gli schemi in agents/contracts/ sono di SCIBETTA; agents/assets/ è di NARO (vedi foglio 'Sincronizzazione'). Nessuna build, test, commit o push da parte degli agenti: li eseguono gli sviluppatori / il SUPERVISORE.</t>
        </is>
      </c>
    </row>
    <row r="8" ht="30" customHeight="1">
      <c r="A8" s="16" t="inlineStr">
        <is>
          <t>Ordine di lavoro</t>
        </is>
      </c>
      <c r="B8" s="14" t="inlineStr">
        <is>
          <t>Segui l'Onda e lo Step del pacchetto. Non iniziare un pacchetto finché i suoi prerequisiti ('Dipende da') non sono Fatti. I pacchetti di una stessa Onda in 'Parallelizzabile con' possono andare in parallelo.</t>
        </is>
      </c>
    </row>
    <row r="9" ht="45" customHeight="1">
      <c r="A9" s="16" t="inlineStr">
        <is>
          <t>Formule automatiche</t>
        </is>
      </c>
      <c r="B9" s="14" t="inlineStr">
        <is>
          <t>'Già fatto?', i contatori della Dashboard, lo stato dei pacchetti e la % di avanzamento si aggiornano da soli. 'Prerequisiti ancora aperti' è calcolato alla generazione del file: ricontrollarlo sulle dipendenze.</t>
        </is>
      </c>
    </row>
    <row r="10" ht="30" customHeight="1">
      <c r="A10" s="16" t="inlineStr">
        <is>
          <t>Complessità</t>
        </is>
      </c>
      <c r="B10" s="14" t="inlineStr">
        <is>
          <t>Non compilata: nessuna stima disponibile ([N], IN indica solo stime per fase). Il bilanciamento è fatto per numero di task.</t>
        </is>
      </c>
    </row>
    <row r="11" ht="30" customHeight="1">
      <c r="A11" s="16" t="inlineStr">
        <is>
          <t>Branch</t>
        </is>
      </c>
      <c r="B11" s="14" t="inlineStr">
        <is>
          <t>[N] convenzione dei branch da decidere dal SUPERVISORE (un branch personale per pacchetto).</t>
        </is>
      </c>
    </row>
    <row r="12" ht="30" customHeight="1">
      <c r="A12" s="16" t="inlineStr">
        <is>
          <t>Fonte dei dati</t>
        </is>
      </c>
      <c r="B12" s="14" t="inlineStr">
        <is>
          <t>Task e dipendenze da TASK_LIST.md (70 task); le assegnazioni a pacchetti/risorse sono [P]. Allinea TASK_LIST.md se cambi stato 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2026-10-29T19:41:16Z</dcterms:created>
  <dcterms:modified xmlns:dcterms="http://purl.org/dc/terms/" xmlns:xsi="http://www.w3.org/2001/XMLSchema-instance" xsi:type="dcterms:W3CDTF">2026-10-29T19:41:16Z</dcterms:modified>
</cp:coreProperties>
</file>